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ehify\Desktop\persian-calendar-excel\examples\"/>
    </mc:Choice>
  </mc:AlternateContent>
  <xr:revisionPtr revIDLastSave="0" documentId="13_ncr:1_{D7547CD9-64B2-4AD4-92A8-714DF3565BEA}" xr6:coauthVersionLast="47" xr6:coauthVersionMax="47" xr10:uidLastSave="{00000000-0000-0000-0000-000000000000}"/>
  <bookViews>
    <workbookView xWindow="-96" yWindow="-96" windowWidth="23232" windowHeight="12552" tabRatio="767" activeTab="6" xr2:uid="{44797419-6997-4FCB-B7ED-FC2DDF970F82}"/>
  </bookViews>
  <sheets>
    <sheet name="Basic Examples" sheetId="1" r:id="rId1"/>
    <sheet name="Persian to Gregorian" sheetId="2" r:id="rId2"/>
    <sheet name="Leap Year Examples" sheetId="3" r:id="rId3"/>
    <sheet name="Date Calculations" sheetId="4" r:id="rId4"/>
    <sheet name="Month Information" sheetId="5" r:id="rId5"/>
    <sheet name="Validation Examples" sheetId="6" r:id="rId6"/>
    <sheet name="Current Date Examples" sheetId="7" r:id="rId7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" i="7" l="1"/>
  <c r="E2" i="5"/>
  <c r="E3" i="5"/>
  <c r="E4" i="5"/>
  <c r="E5" i="5"/>
  <c r="E6" i="5"/>
  <c r="E7" i="5"/>
  <c r="E8" i="5"/>
  <c r="E9" i="5"/>
  <c r="E10" i="5"/>
  <c r="E11" i="5"/>
  <c r="E12" i="5"/>
  <c r="E13" i="5"/>
  <c r="B2" i="1" a="1"/>
  <c r="B8" i="6" a="1"/>
  <c r="D10" i="5" a="1"/>
  <c r="D6" i="5" a="1"/>
  <c r="B11" i="5" a="1"/>
  <c r="C4" i="5" a="1"/>
  <c r="B9" i="5" a="1"/>
  <c r="E3" i="4" a="1"/>
  <c r="C2" i="4" a="1"/>
  <c r="E4" i="4" a="1"/>
  <c r="D12" i="5" a="1"/>
  <c r="C6" i="4" a="1"/>
  <c r="B13" i="5" a="1"/>
  <c r="B7" i="6" a="1"/>
  <c r="B10" i="5" a="1"/>
  <c r="B3" i="6" a="1"/>
  <c r="D3" i="5" a="1"/>
  <c r="C9" i="5" a="1"/>
  <c r="B3" i="5" a="1"/>
  <c r="C2" i="5" a="1"/>
  <c r="F2" i="4" a="1"/>
  <c r="C4" i="4" a="1"/>
  <c r="C13" i="5" a="1"/>
  <c r="C8" i="5" a="1"/>
  <c r="E2" i="4" a="1"/>
  <c r="B4" i="6" a="1"/>
  <c r="D13" i="5" a="1"/>
  <c r="C6" i="5" a="1"/>
  <c r="C10" i="5" a="1"/>
  <c r="B7" i="5" a="1"/>
  <c r="F5" i="4" a="1"/>
  <c r="F4" i="4" a="1"/>
  <c r="C5" i="4" a="1"/>
  <c r="E6" i="4" a="1"/>
  <c r="C3" i="4" a="1"/>
  <c r="B9" i="6" a="1"/>
  <c r="C3" i="5" a="1"/>
  <c r="F3" i="4" a="1"/>
  <c r="D11" i="5" a="1"/>
  <c r="B6" i="5" a="1"/>
  <c r="D5" i="5" a="1"/>
  <c r="B4" i="7" a="1"/>
  <c r="B5" i="6" a="1"/>
  <c r="C5" i="5" a="1"/>
  <c r="D4" i="5" a="1"/>
  <c r="C7" i="5" a="1"/>
  <c r="B8" i="5" a="1"/>
  <c r="D2" i="4" a="1"/>
  <c r="B3" i="7" a="1"/>
  <c r="B12" i="5" a="1"/>
  <c r="D3" i="4" a="1"/>
  <c r="D4" i="4" a="1"/>
  <c r="E5" i="4" a="1"/>
  <c r="B2" i="6" a="1"/>
  <c r="D2" i="5" a="1"/>
  <c r="C11" i="5" a="1"/>
  <c r="B2" i="5" a="1"/>
  <c r="B4" i="5" a="1"/>
  <c r="D8" i="5" a="1"/>
  <c r="F6" i="4" a="1"/>
  <c r="D5" i="4" a="1"/>
  <c r="B5" i="7" a="1"/>
  <c r="B9" i="7" a="1"/>
  <c r="B7" i="7" a="1"/>
  <c r="B8" i="7" a="1"/>
  <c r="B6" i="7" a="1"/>
  <c r="B5" i="7" l="1"/>
  <c r="B2" i="1"/>
  <c r="B9" i="7"/>
  <c r="B8" i="7"/>
  <c r="B7" i="7"/>
  <c r="B6" i="7"/>
  <c r="B4" i="7"/>
  <c r="B3" i="7"/>
  <c r="B9" i="6"/>
  <c r="B5" i="6"/>
  <c r="B4" i="6"/>
  <c r="B3" i="6"/>
  <c r="B8" i="6"/>
  <c r="B7" i="6"/>
  <c r="B2" i="6"/>
  <c r="D6" i="5"/>
  <c r="D5" i="5"/>
  <c r="D8" i="5"/>
  <c r="D12" i="5"/>
  <c r="D4" i="5"/>
  <c r="D13" i="5"/>
  <c r="D3" i="5"/>
  <c r="D10" i="5"/>
  <c r="D11" i="5"/>
  <c r="D2" i="5"/>
  <c r="C13" i="5"/>
  <c r="C5" i="5"/>
  <c r="C10" i="5"/>
  <c r="C9" i="5"/>
  <c r="C4" i="5"/>
  <c r="C8" i="5"/>
  <c r="C11" i="5"/>
  <c r="C3" i="5"/>
  <c r="C7" i="5"/>
  <c r="C6" i="5"/>
  <c r="C2" i="5"/>
  <c r="B9" i="5"/>
  <c r="B13" i="5"/>
  <c r="B4" i="5"/>
  <c r="B12" i="5"/>
  <c r="B8" i="5"/>
  <c r="B7" i="5"/>
  <c r="B3" i="5"/>
  <c r="B11" i="5"/>
  <c r="B10" i="5"/>
  <c r="B6" i="5"/>
  <c r="B2" i="5"/>
  <c r="F6" i="4"/>
  <c r="F3" i="4"/>
  <c r="F4" i="4"/>
  <c r="F5" i="4"/>
  <c r="F2" i="4"/>
  <c r="E6" i="4"/>
  <c r="E4" i="4"/>
  <c r="E3" i="4"/>
  <c r="E5" i="4"/>
  <c r="E2" i="4"/>
  <c r="D4" i="4"/>
  <c r="D5" i="4"/>
  <c r="D3" i="4"/>
  <c r="D2" i="4"/>
  <c r="C6" i="4"/>
  <c r="C5" i="4"/>
  <c r="C3" i="4"/>
  <c r="C4" i="4"/>
  <c r="C2" i="4"/>
  <c r="D2" i="3"/>
  <c r="D3" i="3"/>
  <c r="D4" i="3"/>
  <c r="D5" i="3"/>
  <c r="D6" i="3"/>
  <c r="D7" i="3"/>
  <c r="D8" i="3"/>
  <c r="D9" i="3"/>
  <c r="D10" i="3"/>
  <c r="D11" i="3"/>
  <c r="B6" i="6" a="1"/>
  <c r="D7" i="5" a="1"/>
  <c r="D9" i="5" a="1"/>
  <c r="C12" i="5" a="1"/>
  <c r="B5" i="5" a="1"/>
  <c r="D6" i="4" a="1"/>
  <c r="B10" i="3" a="1"/>
  <c r="C2" i="3" a="1"/>
  <c r="C6" i="3" a="1"/>
  <c r="B30" i="2" a="1"/>
  <c r="B24" i="2" a="1"/>
  <c r="B11" i="2" a="1"/>
  <c r="B6" i="2" a="1"/>
  <c r="C5" i="3" a="1"/>
  <c r="C7" i="3" a="1"/>
  <c r="B4" i="3" a="1"/>
  <c r="B15" i="2" a="1"/>
  <c r="B28" i="2" a="1"/>
  <c r="B10" i="2" a="1"/>
  <c r="B2" i="2" a="1"/>
  <c r="C9" i="3" a="1"/>
  <c r="C11" i="3" a="1"/>
  <c r="B2" i="3" a="1"/>
  <c r="B9" i="3" a="1"/>
  <c r="B19" i="2" a="1"/>
  <c r="B17" i="2" a="1"/>
  <c r="B4" i="2" a="1"/>
  <c r="B12" i="2" a="1"/>
  <c r="B20" i="2" a="1"/>
  <c r="B6" i="3" a="1"/>
  <c r="B5" i="3" a="1"/>
  <c r="C3" i="3" a="1"/>
  <c r="B23" i="2" a="1"/>
  <c r="B21" i="2" a="1"/>
  <c r="B8" i="2" a="1"/>
  <c r="B13" i="2" a="1"/>
  <c r="B7" i="3" a="1"/>
  <c r="C8" i="3" a="1"/>
  <c r="B14" i="2" a="1"/>
  <c r="B27" i="2" a="1"/>
  <c r="B25" i="2" a="1"/>
  <c r="B8" i="3" a="1"/>
  <c r="C10" i="3" a="1"/>
  <c r="B11" i="3" a="1"/>
  <c r="B18" i="2" a="1"/>
  <c r="B31" i="2" a="1"/>
  <c r="B29" i="2" a="1"/>
  <c r="B5" i="2" a="1"/>
  <c r="B26" i="2" a="1"/>
  <c r="B7" i="2" a="1"/>
  <c r="C4" i="3" a="1"/>
  <c r="B3" i="3" a="1"/>
  <c r="B22" i="2" a="1"/>
  <c r="B16" i="2" a="1"/>
  <c r="B3" i="2" a="1"/>
  <c r="B9" i="2" a="1"/>
  <c r="B6" i="6" l="1"/>
  <c r="B5" i="5"/>
  <c r="C12" i="5"/>
  <c r="D9" i="5"/>
  <c r="D7" i="5"/>
  <c r="D6" i="4"/>
  <c r="C5" i="3"/>
  <c r="C6" i="3"/>
  <c r="C9" i="3"/>
  <c r="C4" i="3"/>
  <c r="C10" i="3"/>
  <c r="C8" i="3"/>
  <c r="C3" i="3"/>
  <c r="C11" i="3"/>
  <c r="C7" i="3"/>
  <c r="C2" i="3"/>
  <c r="B5" i="3"/>
  <c r="E5" i="3" s="1" a="1"/>
  <c r="E5" i="3" s="1"/>
  <c r="B9" i="3"/>
  <c r="E9" i="3" s="1" a="1"/>
  <c r="E9" i="3" s="1"/>
  <c r="B4" i="3"/>
  <c r="E4" i="3" s="1" a="1"/>
  <c r="E4" i="3" s="1"/>
  <c r="B10" i="3"/>
  <c r="E10" i="3" s="1" a="1"/>
  <c r="E10" i="3" s="1"/>
  <c r="B8" i="3"/>
  <c r="E8" i="3" s="1" a="1"/>
  <c r="E8" i="3" s="1"/>
  <c r="B3" i="3"/>
  <c r="E3" i="3" s="1" a="1"/>
  <c r="E3" i="3" s="1"/>
  <c r="B11" i="3"/>
  <c r="B7" i="3"/>
  <c r="E7" i="3" s="1" a="1"/>
  <c r="E7" i="3" s="1"/>
  <c r="B6" i="3"/>
  <c r="B2" i="3"/>
  <c r="B29" i="2"/>
  <c r="B25" i="2"/>
  <c r="B21" i="2"/>
  <c r="B17" i="2"/>
  <c r="B28" i="2"/>
  <c r="B24" i="2"/>
  <c r="B20" i="2"/>
  <c r="B16" i="2"/>
  <c r="B31" i="2"/>
  <c r="B27" i="2"/>
  <c r="B23" i="2"/>
  <c r="B19" i="2"/>
  <c r="B15" i="2"/>
  <c r="B30" i="2"/>
  <c r="B26" i="2"/>
  <c r="B22" i="2"/>
  <c r="B18" i="2"/>
  <c r="B14" i="2"/>
  <c r="B6" i="2"/>
  <c r="B13" i="2"/>
  <c r="B9" i="2"/>
  <c r="B5" i="2"/>
  <c r="B12" i="2"/>
  <c r="B8" i="2"/>
  <c r="B4" i="2"/>
  <c r="B10" i="2"/>
  <c r="B11" i="2"/>
  <c r="B7" i="2"/>
  <c r="B3" i="2"/>
  <c r="B2" i="2"/>
  <c r="E11" i="3" a="1"/>
  <c r="E27" i="1" a="1"/>
  <c r="C26" i="1" a="1"/>
  <c r="C29" i="1" a="1"/>
  <c r="D2" i="1" a="1"/>
  <c r="D11" i="1" a="1"/>
  <c r="B17" i="1" a="1"/>
  <c r="E11" i="1" a="1"/>
  <c r="C22" i="1" a="1"/>
  <c r="E16" i="1" a="1"/>
  <c r="B22" i="1" a="1"/>
  <c r="B30" i="1" a="1"/>
  <c r="B16" i="1" a="1"/>
  <c r="C7" i="1" a="1"/>
  <c r="E7" i="1" a="1"/>
  <c r="C10" i="1" a="1"/>
  <c r="D29" i="1" a="1"/>
  <c r="D5" i="1" a="1"/>
  <c r="E6" i="3" a="1"/>
  <c r="E2" i="1" a="1"/>
  <c r="C15" i="1" a="1"/>
  <c r="B5" i="1" a="1"/>
  <c r="B26" i="1" a="1"/>
  <c r="D10" i="1" a="1"/>
  <c r="B15" i="1" a="1"/>
  <c r="D13" i="1" a="1"/>
  <c r="E23" i="1" a="1"/>
  <c r="C12" i="1" a="1"/>
  <c r="D8" i="1" a="1"/>
  <c r="C18" i="1" a="1"/>
  <c r="B7" i="1" a="1"/>
  <c r="D12" i="1" a="1"/>
  <c r="B27" i="1" a="1"/>
  <c r="E8" i="1" a="1"/>
  <c r="C5" i="1" a="1"/>
  <c r="D27" i="1" a="1"/>
  <c r="B28" i="1" a="1"/>
  <c r="E28" i="1" a="1"/>
  <c r="E6" i="3" l="1"/>
  <c r="E11" i="3"/>
  <c r="E2" i="2"/>
  <c r="C2" i="2"/>
  <c r="D2" i="2"/>
  <c r="D16" i="2"/>
  <c r="E16" i="2"/>
  <c r="C16" i="2"/>
  <c r="C21" i="2"/>
  <c r="D21" i="2"/>
  <c r="E21" i="2"/>
  <c r="C26" i="2"/>
  <c r="E26" i="2"/>
  <c r="D26" i="2"/>
  <c r="E30" i="2"/>
  <c r="C30" i="2"/>
  <c r="D30" i="2"/>
  <c r="D24" i="2"/>
  <c r="E24" i="2"/>
  <c r="C24" i="2"/>
  <c r="E14" i="2"/>
  <c r="C14" i="2"/>
  <c r="D14" i="2"/>
  <c r="C20" i="2"/>
  <c r="D20" i="2"/>
  <c r="E20" i="2"/>
  <c r="D15" i="2"/>
  <c r="E15" i="2"/>
  <c r="C15" i="2"/>
  <c r="C28" i="2"/>
  <c r="D28" i="2"/>
  <c r="E28" i="2"/>
  <c r="E23" i="2"/>
  <c r="D23" i="2"/>
  <c r="C23" i="2"/>
  <c r="E22" i="2"/>
  <c r="C22" i="2"/>
  <c r="D22" i="2"/>
  <c r="C19" i="2"/>
  <c r="D19" i="2"/>
  <c r="E19" i="2"/>
  <c r="D17" i="2"/>
  <c r="E17" i="2"/>
  <c r="C17" i="2"/>
  <c r="C27" i="2"/>
  <c r="D27" i="2"/>
  <c r="E27" i="2"/>
  <c r="D25" i="2"/>
  <c r="E25" i="2"/>
  <c r="C25" i="2"/>
  <c r="C18" i="2"/>
  <c r="D18" i="2"/>
  <c r="E18" i="2"/>
  <c r="E31" i="2"/>
  <c r="C31" i="2"/>
  <c r="D31" i="2"/>
  <c r="E29" i="2"/>
  <c r="C29" i="2"/>
  <c r="D29" i="2"/>
  <c r="D11" i="2"/>
  <c r="E11" i="2"/>
  <c r="C11" i="2"/>
  <c r="C6" i="2"/>
  <c r="E6" i="2"/>
  <c r="D6" i="2"/>
  <c r="E8" i="2"/>
  <c r="D8" i="2"/>
  <c r="C8" i="2"/>
  <c r="D12" i="2"/>
  <c r="C12" i="2"/>
  <c r="E12" i="2"/>
  <c r="C5" i="2"/>
  <c r="D5" i="2"/>
  <c r="E5" i="2"/>
  <c r="D3" i="2"/>
  <c r="C3" i="2"/>
  <c r="E3" i="2"/>
  <c r="E9" i="2"/>
  <c r="D9" i="2"/>
  <c r="C9" i="2"/>
  <c r="D10" i="2"/>
  <c r="C10" i="2"/>
  <c r="E10" i="2"/>
  <c r="D4" i="2"/>
  <c r="E4" i="2"/>
  <c r="C4" i="2"/>
  <c r="E7" i="2"/>
  <c r="C7" i="2"/>
  <c r="D7" i="2"/>
  <c r="C13" i="2"/>
  <c r="E13" i="2"/>
  <c r="D13" i="2"/>
  <c r="E28" i="1"/>
  <c r="E16" i="1"/>
  <c r="E8" i="1"/>
  <c r="E27" i="1"/>
  <c r="E23" i="1"/>
  <c r="E11" i="1"/>
  <c r="E7" i="1"/>
  <c r="E2" i="1"/>
  <c r="D13" i="1"/>
  <c r="D5" i="1"/>
  <c r="D12" i="1"/>
  <c r="D8" i="1"/>
  <c r="D29" i="1"/>
  <c r="D27" i="1"/>
  <c r="D11" i="1"/>
  <c r="D10" i="1"/>
  <c r="D2" i="1"/>
  <c r="C18" i="1"/>
  <c r="C10" i="1"/>
  <c r="C29" i="1"/>
  <c r="C5" i="1"/>
  <c r="C26" i="1"/>
  <c r="C12" i="1"/>
  <c r="C22" i="1"/>
  <c r="C15" i="1"/>
  <c r="C7" i="1"/>
  <c r="B17" i="1"/>
  <c r="B5" i="1"/>
  <c r="B28" i="1"/>
  <c r="B16" i="1"/>
  <c r="B15" i="1"/>
  <c r="B30" i="1"/>
  <c r="B27" i="1"/>
  <c r="B7" i="1"/>
  <c r="B26" i="1"/>
  <c r="B22" i="1"/>
  <c r="E2" i="3" a="1"/>
  <c r="E10" i="1" a="1"/>
  <c r="C19" i="1" a="1"/>
  <c r="D19" i="1" a="1"/>
  <c r="D28" i="1" a="1"/>
  <c r="B8" i="1" a="1"/>
  <c r="E22" i="1" a="1"/>
  <c r="E15" i="1" a="1"/>
  <c r="C28" i="1" a="1"/>
  <c r="B20" i="1" a="1"/>
  <c r="C3" i="1" a="1"/>
  <c r="E20" i="1" a="1"/>
  <c r="B19" i="1" a="1"/>
  <c r="B12" i="1" a="1"/>
  <c r="E30" i="1" a="1"/>
  <c r="E31" i="1" a="1"/>
  <c r="C16" i="1" a="1"/>
  <c r="C8" i="1" a="1"/>
  <c r="D21" i="1" a="1"/>
  <c r="D25" i="1" a="1"/>
  <c r="E3" i="1" a="1"/>
  <c r="E29" i="1" a="1"/>
  <c r="C21" i="1" a="1"/>
  <c r="E21" i="1" a="1"/>
  <c r="C6" i="1" a="1"/>
  <c r="C11" i="1" a="1"/>
  <c r="D4" i="1" a="1"/>
  <c r="D31" i="1" a="1"/>
  <c r="C4" i="1" a="1"/>
  <c r="E12" i="1" a="1"/>
  <c r="C9" i="1" a="1"/>
  <c r="E18" i="1" a="1"/>
  <c r="C23" i="1" a="1"/>
  <c r="C27" i="1" a="1"/>
  <c r="E9" i="1" a="1"/>
  <c r="E26" i="1" a="1"/>
  <c r="B14" i="1" a="1"/>
  <c r="E19" i="1" a="1"/>
  <c r="C14" i="1" a="1"/>
  <c r="B3" i="1" a="1"/>
  <c r="B29" i="1" a="1"/>
  <c r="E17" i="1" a="1"/>
  <c r="D3" i="1" a="1"/>
  <c r="D9" i="1" a="1"/>
  <c r="E13" i="1" a="1"/>
  <c r="C30" i="1" a="1"/>
  <c r="E25" i="1" a="1"/>
  <c r="C20" i="1" a="1"/>
  <c r="C24" i="1" a="1"/>
  <c r="E14" i="1" a="1"/>
  <c r="D26" i="1" a="1"/>
  <c r="B24" i="1" a="1"/>
  <c r="E4" i="1" a="1"/>
  <c r="C25" i="1" a="1"/>
  <c r="D18" i="1" a="1"/>
  <c r="B10" i="1" a="1"/>
  <c r="B13" i="1" a="1"/>
  <c r="D14" i="1" a="1"/>
  <c r="B11" i="1" a="1"/>
  <c r="E24" i="1" a="1"/>
  <c r="C13" i="1" a="1"/>
  <c r="C17" i="1" a="1"/>
  <c r="D22" i="1" a="1"/>
  <c r="D23" i="1" a="1"/>
  <c r="B4" i="1" a="1"/>
  <c r="E5" i="1" a="1"/>
  <c r="B18" i="1" a="1"/>
  <c r="D6" i="1" a="1"/>
  <c r="D17" i="1" a="1"/>
  <c r="D24" i="1" a="1"/>
  <c r="D30" i="1" a="1"/>
  <c r="B23" i="1" a="1"/>
  <c r="E6" i="1" a="1"/>
  <c r="B6" i="1" a="1"/>
  <c r="B25" i="1" a="1"/>
  <c r="D15" i="1" a="1"/>
  <c r="D16" i="1" a="1"/>
  <c r="B9" i="1" a="1"/>
  <c r="D7" i="1" a="1"/>
  <c r="B21" i="1" a="1"/>
  <c r="D20" i="1" a="1"/>
  <c r="C2" i="1" a="1"/>
  <c r="B31" i="1" a="1"/>
  <c r="C31" i="1" a="1"/>
  <c r="E2" i="3" l="1"/>
  <c r="C31" i="1"/>
  <c r="B31" i="1"/>
  <c r="C2" i="1"/>
  <c r="D20" i="1"/>
  <c r="B21" i="1"/>
  <c r="D7" i="1"/>
  <c r="B9" i="1"/>
  <c r="D16" i="1"/>
  <c r="D15" i="1"/>
  <c r="B25" i="1"/>
  <c r="B6" i="1"/>
  <c r="E6" i="1"/>
  <c r="B23" i="1"/>
  <c r="D30" i="1"/>
  <c r="D24" i="1"/>
  <c r="D17" i="1"/>
  <c r="D6" i="1"/>
  <c r="B18" i="1"/>
  <c r="E5" i="1"/>
  <c r="B4" i="1"/>
  <c r="D23" i="1"/>
  <c r="D22" i="1"/>
  <c r="C17" i="1"/>
  <c r="C13" i="1"/>
  <c r="E24" i="1"/>
  <c r="B11" i="1"/>
  <c r="D14" i="1"/>
  <c r="B13" i="1"/>
  <c r="B10" i="1"/>
  <c r="D18" i="1"/>
  <c r="C25" i="1"/>
  <c r="E4" i="1"/>
  <c r="B24" i="1"/>
  <c r="D26" i="1"/>
  <c r="E14" i="1"/>
  <c r="C24" i="1"/>
  <c r="C20" i="1"/>
  <c r="E25" i="1"/>
  <c r="C30" i="1"/>
  <c r="E13" i="1"/>
  <c r="D9" i="1"/>
  <c r="D3" i="1"/>
  <c r="E17" i="1"/>
  <c r="B29" i="1"/>
  <c r="B3" i="1"/>
  <c r="C14" i="1"/>
  <c r="E19" i="1"/>
  <c r="B14" i="1"/>
  <c r="E26" i="1"/>
  <c r="E9" i="1"/>
  <c r="C27" i="1"/>
  <c r="C23" i="1"/>
  <c r="E18" i="1"/>
  <c r="C9" i="1"/>
  <c r="E12" i="1"/>
  <c r="C4" i="1"/>
  <c r="D31" i="1"/>
  <c r="D4" i="1"/>
  <c r="C11" i="1"/>
  <c r="C6" i="1"/>
  <c r="E21" i="1"/>
  <c r="C21" i="1"/>
  <c r="E29" i="1"/>
  <c r="E3" i="1"/>
  <c r="D25" i="1"/>
  <c r="D21" i="1"/>
  <c r="C8" i="1"/>
  <c r="C16" i="1"/>
  <c r="E31" i="1"/>
  <c r="E30" i="1"/>
  <c r="B12" i="1"/>
  <c r="B19" i="1"/>
  <c r="E20" i="1"/>
  <c r="C3" i="1"/>
  <c r="B20" i="1"/>
  <c r="C28" i="1"/>
  <c r="E15" i="1"/>
  <c r="E22" i="1"/>
  <c r="B8" i="1"/>
  <c r="D28" i="1"/>
  <c r="D19" i="1"/>
  <c r="C19" i="1"/>
  <c r="E1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<sst xmlns="http://schemas.openxmlformats.org/spreadsheetml/2006/main" count="95" uniqueCount="87">
  <si>
    <t>Gregorian Date</t>
  </si>
  <si>
    <t>Persian Date</t>
  </si>
  <si>
    <t>Persian Formatted</t>
  </si>
  <si>
    <t>Persian Month</t>
  </si>
  <si>
    <t>Persian Weekday</t>
  </si>
  <si>
    <t>Year</t>
  </si>
  <si>
    <t>Month</t>
  </si>
  <si>
    <t>Day</t>
  </si>
  <si>
    <t>1403/01/01</t>
  </si>
  <si>
    <t>1403/01/02</t>
  </si>
  <si>
    <t>1403/01/03</t>
  </si>
  <si>
    <t>1403/01/04</t>
  </si>
  <si>
    <t>1403/01/05</t>
  </si>
  <si>
    <t>1403/01/06</t>
  </si>
  <si>
    <t>1403/01/07</t>
  </si>
  <si>
    <t>1403/01/08</t>
  </si>
  <si>
    <t>1403/01/09</t>
  </si>
  <si>
    <t>1403/01/10</t>
  </si>
  <si>
    <t>1403/01/11</t>
  </si>
  <si>
    <t>1403/01/12</t>
  </si>
  <si>
    <t>1403/01/13</t>
  </si>
  <si>
    <t>1403/01/14</t>
  </si>
  <si>
    <t>1403/01/15</t>
  </si>
  <si>
    <t>1403/01/16</t>
  </si>
  <si>
    <t>1403/01/17</t>
  </si>
  <si>
    <t>1403/01/18</t>
  </si>
  <si>
    <t>1403/01/19</t>
  </si>
  <si>
    <t>1403/01/20</t>
  </si>
  <si>
    <t>1403/01/21</t>
  </si>
  <si>
    <t>1403/01/22</t>
  </si>
  <si>
    <t>1403/01/23</t>
  </si>
  <si>
    <t>1403/01/24</t>
  </si>
  <si>
    <t>1403/01/25</t>
  </si>
  <si>
    <t>1403/01/26</t>
  </si>
  <si>
    <t>1403/01/27</t>
  </si>
  <si>
    <t>1403/01/28</t>
  </si>
  <si>
    <t>1403/01/29</t>
  </si>
  <si>
    <t>1403/01/30</t>
  </si>
  <si>
    <t>Persian Year</t>
  </si>
  <si>
    <t>Is Leap Year</t>
  </si>
  <si>
    <t>Days in Esfand</t>
  </si>
  <si>
    <t>Sample Date</t>
  </si>
  <si>
    <t>Gregorian Equivalent</t>
  </si>
  <si>
    <t>Start Date (Persian)</t>
  </si>
  <si>
    <t>End Date (Persian)</t>
  </si>
  <si>
    <t>Days Difference</t>
  </si>
  <si>
    <t>Add 30 Days</t>
  </si>
  <si>
    <t>Add 90 Days</t>
  </si>
  <si>
    <t>Add 365 Days</t>
  </si>
  <si>
    <t>1403/02/01</t>
  </si>
  <si>
    <t>1403/03/01</t>
  </si>
  <si>
    <t>1403/06/31</t>
  </si>
  <si>
    <t>1403/12/01</t>
  </si>
  <si>
    <t>1403/01/31</t>
  </si>
  <si>
    <t>1403/02/31</t>
  </si>
  <si>
    <t>1403/03/31</t>
  </si>
  <si>
    <t>1403/07/01</t>
  </si>
  <si>
    <t>1404/01/01</t>
  </si>
  <si>
    <t>Month Number</t>
  </si>
  <si>
    <t>Persian Name</t>
  </si>
  <si>
    <t>Days (Normal Year)</t>
  </si>
  <si>
    <t>Days (Leap Year)</t>
  </si>
  <si>
    <t>Date String</t>
  </si>
  <si>
    <t>Is Valid</t>
  </si>
  <si>
    <t>Error Reason</t>
  </si>
  <si>
    <t>1403/05/08</t>
  </si>
  <si>
    <t>1403/13/01</t>
  </si>
  <si>
    <t>1403/12/31</t>
  </si>
  <si>
    <t>1403/06/32</t>
  </si>
  <si>
    <t>1403/00/15</t>
  </si>
  <si>
    <t>1403/07/31</t>
  </si>
  <si>
    <t>0/01/01</t>
  </si>
  <si>
    <t>1403/05/00</t>
  </si>
  <si>
    <t>Valid</t>
  </si>
  <si>
    <t>Invalid Month</t>
  </si>
  <si>
    <t>Invalid Day</t>
  </si>
  <si>
    <t>Invalid Year</t>
  </si>
  <si>
    <t>Function</t>
  </si>
  <si>
    <t>Result</t>
  </si>
  <si>
    <t>TODAY()</t>
  </si>
  <si>
    <t>TODAY_PERSIAN()</t>
  </si>
  <si>
    <t>TODAY_PERSIAN_FORMATTED()</t>
  </si>
  <si>
    <t>PERSIAN_YEAR(TODAY())</t>
  </si>
  <si>
    <t>PERSIAN_MONTH(TODAY())</t>
  </si>
  <si>
    <t>PERSIAN_DAY(TODAY())</t>
  </si>
  <si>
    <t>PERSIAN_WEEKDAY_NAME(TODAY())</t>
  </si>
  <si>
    <t>IS_PERSIAN_LEAP_YEAR(PERSIAN_YEAR(TODAY()))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</si>
</sst>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/m/d"/>
  </numFmts>
  <fonts count="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7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</borders>
  <cellStyleXfs count="1">
    <xf numFmtId="0" fontId="0" fillId="0" borderId="0"/>
  </cellStyleXfs>
  <cellXfs count="48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0" fillId="3" borderId="3" xfId="0" applyFont="1" applyFill="1" applyBorder="1" applyAlignment="1">
      <alignment horizontal="center" vertical="center"/>
    </xf>
    <xf numFmtId="0" fontId="0" fillId="0" borderId="3" xfId="0" applyFont="1" applyBorder="1" applyAlignment="1">
      <alignment horizontal="center" vertical="center"/>
    </xf>
    <xf numFmtId="0" fontId="0" fillId="0" borderId="4" xfId="0" applyFont="1" applyBorder="1" applyAlignment="1">
      <alignment horizontal="center" vertical="center"/>
    </xf>
    <xf numFmtId="0" fontId="0" fillId="3" borderId="4" xfId="0" applyFont="1" applyFill="1" applyBorder="1" applyAlignment="1">
      <alignment horizontal="center" vertical="center"/>
    </xf>
    <xf numFmtId="0" fontId="0" fillId="0" borderId="1" xfId="0" applyFont="1" applyBorder="1" applyAlignment="1">
      <alignment horizontal="center" vertical="center"/>
    </xf>
    <xf numFmtId="0" fontId="0" fillId="0" borderId="2" xfId="0" applyFont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164" fontId="0" fillId="3" borderId="3" xfId="0" applyNumberFormat="1" applyFont="1" applyFill="1" applyBorder="1" applyAlignment="1">
      <alignment horizontal="center" vertical="center"/>
    </xf>
    <xf numFmtId="0" fontId="0" fillId="3" borderId="6" xfId="0" applyFont="1" applyFill="1" applyBorder="1" applyAlignment="1">
      <alignment horizontal="center" vertical="center"/>
    </xf>
    <xf numFmtId="164" fontId="0" fillId="0" borderId="3" xfId="0" applyNumberFormat="1" applyFont="1" applyBorder="1" applyAlignment="1">
      <alignment horizontal="center" vertical="center"/>
    </xf>
    <xf numFmtId="0" fontId="0" fillId="0" borderId="6" xfId="0" applyFont="1" applyBorder="1" applyAlignment="1">
      <alignment horizontal="center" vertical="center"/>
    </xf>
    <xf numFmtId="164" fontId="0" fillId="0" borderId="1" xfId="0" applyNumberFormat="1" applyFont="1" applyBorder="1" applyAlignment="1">
      <alignment horizontal="center" vertical="center"/>
    </xf>
    <xf numFmtId="0" fontId="0" fillId="0" borderId="5" xfId="0" applyFont="1" applyBorder="1" applyAlignment="1">
      <alignment horizontal="center" vertical="center"/>
    </xf>
    <xf numFmtId="14" fontId="0" fillId="3" borderId="6" xfId="0" applyNumberFormat="1" applyFont="1" applyFill="1" applyBorder="1" applyAlignment="1">
      <alignment horizontal="center" vertical="center"/>
    </xf>
    <xf numFmtId="14" fontId="0" fillId="0" borderId="6" xfId="0" applyNumberFormat="1" applyFont="1" applyBorder="1" applyAlignment="1">
      <alignment horizontal="center" vertical="center"/>
    </xf>
    <xf numFmtId="14" fontId="0" fillId="0" borderId="5" xfId="0" applyNumberFormat="1" applyFont="1" applyBorder="1" applyAlignment="1">
      <alignment horizontal="center" vertical="center"/>
    </xf>
    <xf numFmtId="0" fontId="0" fillId="0" borderId="1" xfId="0" applyFont="1" applyBorder="1"/>
    <xf numFmtId="0" fontId="0" fillId="0" borderId="5" xfId="0" applyFont="1" applyBorder="1"/>
    <xf numFmtId="0" fontId="2" fillId="2" borderId="3" xfId="0" applyFont="1" applyFill="1" applyBorder="1"/>
    <xf numFmtId="0" fontId="2" fillId="2" borderId="6" xfId="0" applyFont="1" applyFill="1" applyBorder="1"/>
    <xf numFmtId="0" fontId="2" fillId="2" borderId="4" xfId="0" applyFont="1" applyFill="1" applyBorder="1" applyAlignment="1">
      <alignment horizontal="center"/>
    </xf>
    <xf numFmtId="0" fontId="0" fillId="3" borderId="3" xfId="0" applyFont="1" applyFill="1" applyBorder="1"/>
    <xf numFmtId="0" fontId="0" fillId="3" borderId="6" xfId="0" applyFont="1" applyFill="1" applyBorder="1"/>
    <xf numFmtId="164" fontId="0" fillId="3" borderId="4" xfId="0" applyNumberFormat="1" applyFont="1" applyFill="1" applyBorder="1" applyAlignment="1">
      <alignment horizontal="center"/>
    </xf>
    <xf numFmtId="0" fontId="0" fillId="0" borderId="3" xfId="0" applyFont="1" applyBorder="1"/>
    <xf numFmtId="0" fontId="0" fillId="0" borderId="6" xfId="0" applyFont="1" applyBorder="1"/>
    <xf numFmtId="164" fontId="0" fillId="0" borderId="4" xfId="0" applyNumberFormat="1" applyFont="1" applyBorder="1" applyAlignment="1">
      <alignment horizontal="center"/>
    </xf>
    <xf numFmtId="164" fontId="0" fillId="0" borderId="2" xfId="0" applyNumberFormat="1" applyFont="1" applyBorder="1" applyAlignment="1">
      <alignment horizontal="center"/>
    </xf>
    <xf numFmtId="0" fontId="0" fillId="3" borderId="6" xfId="0" applyFont="1" applyFill="1" applyBorder="1" applyAlignment="1">
      <alignment horizontal="center"/>
    </xf>
    <xf numFmtId="0" fontId="0" fillId="3" borderId="1" xfId="0" applyFont="1" applyFill="1" applyBorder="1" applyAlignment="1">
      <alignment horizontal="center" vertical="center"/>
    </xf>
    <xf numFmtId="0" fontId="0" fillId="3" borderId="5" xfId="0" applyFont="1" applyFill="1" applyBorder="1" applyAlignment="1">
      <alignment horizontal="center" vertical="center"/>
    </xf>
    <xf numFmtId="0" fontId="0" fillId="3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/>
    </xf>
    <xf numFmtId="0" fontId="2" fillId="2" borderId="6" xfId="0" applyFont="1" applyFill="1" applyBorder="1" applyAlignment="1">
      <alignment horizontal="center"/>
    </xf>
    <xf numFmtId="0" fontId="0" fillId="3" borderId="3" xfId="0" applyFont="1" applyFill="1" applyBorder="1" applyAlignment="1">
      <alignment horizontal="center"/>
    </xf>
    <xf numFmtId="0" fontId="0" fillId="3" borderId="4" xfId="0" applyFont="1" applyFill="1" applyBorder="1" applyAlignment="1">
      <alignment horizontal="center"/>
    </xf>
    <xf numFmtId="0" fontId="0" fillId="0" borderId="3" xfId="0" applyFont="1" applyBorder="1" applyAlignment="1">
      <alignment horizontal="center"/>
    </xf>
    <xf numFmtId="0" fontId="0" fillId="0" borderId="6" xfId="0" applyFont="1" applyBorder="1" applyAlignment="1">
      <alignment horizontal="center"/>
    </xf>
    <xf numFmtId="0" fontId="0" fillId="0" borderId="4" xfId="0" applyFont="1" applyBorder="1" applyAlignment="1">
      <alignment horizontal="center"/>
    </xf>
    <xf numFmtId="0" fontId="0" fillId="0" borderId="1" xfId="0" applyFont="1" applyBorder="1" applyAlignment="1">
      <alignment horizontal="center"/>
    </xf>
    <xf numFmtId="0" fontId="0" fillId="0" borderId="5" xfId="0" applyFont="1" applyBorder="1" applyAlignment="1">
      <alignment horizontal="center"/>
    </xf>
    <xf numFmtId="0" fontId="0" fillId="0" borderId="2" xfId="0" applyFont="1" applyBorder="1" applyAlignment="1">
      <alignment horizontal="center"/>
    </xf>
    <xf numFmtId="0" fontId="2" fillId="2" borderId="0" xfId="0" applyFont="1" applyFill="1" applyBorder="1" applyAlignment="1">
      <alignment horizontal="center" vertical="center"/>
    </xf>
  </cellXfs>
  <cellStyles count="1">
    <cellStyle name="Normal" xfId="0" builtinId="0"/>
  </cellStyles>
  <dxfs count="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76CDF61-9641-4827-95B3-499044712F09}" name="Table1" displayName="Table1" ref="A1:B9" totalsRowShown="0" headerRowDxfId="4" dataDxfId="3" tableBorderDxfId="2">
  <autoFilter ref="A1:B9" xr:uid="{476CDF61-9641-4827-95B3-499044712F09}"/>
  <tableColumns count="2">
    <tableColumn id="1" xr3:uid="{6C26C6AE-0CAA-4F1D-8184-D71351009F8F}" name="Function" dataDxfId="1"/>
    <tableColumn id="2" xr3:uid="{DE72BB6F-53EA-41F3-9B5F-B4615DB2FEA9}" name="Result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59D15A-3339-4704-95E0-5E0293A5C77C}">
  <sheetPr codeName="Sheet1"/>
  <dimension ref="A1:E31"/>
  <sheetViews>
    <sheetView topLeftCell="A4" workbookViewId="0">
      <selection activeCell="C19" sqref="C19"/>
    </sheetView>
  </sheetViews>
  <sheetFormatPr defaultRowHeight="14.4" x14ac:dyDescent="0.55000000000000004"/>
  <cols>
    <col min="1" max="5" width="20.578125" style="2" customWidth="1"/>
  </cols>
  <sheetData>
    <row r="1" spans="1:5" x14ac:dyDescent="0.55000000000000004">
      <c r="A1" s="3" t="s">
        <v>0</v>
      </c>
      <c r="B1" s="11" t="s">
        <v>1</v>
      </c>
      <c r="C1" s="11" t="s">
        <v>2</v>
      </c>
      <c r="D1" s="11" t="s">
        <v>3</v>
      </c>
      <c r="E1" s="4" t="s">
        <v>4</v>
      </c>
    </row>
    <row r="2" spans="1:5" x14ac:dyDescent="0.55000000000000004">
      <c r="A2" s="12">
        <v>45292</v>
      </c>
      <c r="B2" s="13" t="str" cm="1">
        <f t="array" ref="B2">GREGORIAN_TO_PERSIAN('Basic Examples'!$A2)</f>
        <v>1402/10/11</v>
      </c>
      <c r="C2" s="13" t="str" cm="1">
        <f t="array" ref="C2">PERSIAN_DATE_FORMATTED('Basic Examples'!$A2)</f>
        <v>11 دي 1402</v>
      </c>
      <c r="D2" s="13" t="str" cm="1">
        <f t="array" ref="D2">PERSIAN_MONTH_NAME('Basic Examples'!$A2)</f>
        <v>دي</v>
      </c>
      <c r="E2" s="8" t="str" cm="1">
        <f t="array" ref="E2">PERSIAN_WEEKDAY_NAME('Basic Examples'!$A2)</f>
        <v>دوشنبه</v>
      </c>
    </row>
    <row r="3" spans="1:5" x14ac:dyDescent="0.55000000000000004">
      <c r="A3" s="14">
        <v>45293</v>
      </c>
      <c r="B3" s="15" t="str" cm="1">
        <f t="array" ref="B3">GREGORIAN_TO_PERSIAN('Basic Examples'!$A3)</f>
        <v>1402/10/12</v>
      </c>
      <c r="C3" s="15" t="str" cm="1">
        <f t="array" ref="C3">PERSIAN_DATE_FORMATTED('Basic Examples'!$A3)</f>
        <v>12 دي 1402</v>
      </c>
      <c r="D3" s="15" t="str" cm="1">
        <f t="array" ref="D3">PERSIAN_MONTH_NAME('Basic Examples'!$A3)</f>
        <v>دي</v>
      </c>
      <c r="E3" s="7" t="str" cm="1">
        <f t="array" ref="E3">PERSIAN_WEEKDAY_NAME('Basic Examples'!$A3)</f>
        <v>سه‌شنبه</v>
      </c>
    </row>
    <row r="4" spans="1:5" x14ac:dyDescent="0.55000000000000004">
      <c r="A4" s="12">
        <v>45294</v>
      </c>
      <c r="B4" s="13" t="str" cm="1">
        <f t="array" ref="B4">GREGORIAN_TO_PERSIAN('Basic Examples'!$A4)</f>
        <v>1402/10/13</v>
      </c>
      <c r="C4" s="13" t="str" cm="1">
        <f t="array" ref="C4">PERSIAN_DATE_FORMATTED('Basic Examples'!$A4)</f>
        <v>13 دي 1402</v>
      </c>
      <c r="D4" s="13" t="str" cm="1">
        <f t="array" ref="D4">PERSIAN_MONTH_NAME('Basic Examples'!$A4)</f>
        <v>دي</v>
      </c>
      <c r="E4" s="8" t="str" cm="1">
        <f t="array" ref="E4">PERSIAN_WEEKDAY_NAME('Basic Examples'!$A4)</f>
        <v>چهارشنبه</v>
      </c>
    </row>
    <row r="5" spans="1:5" x14ac:dyDescent="0.55000000000000004">
      <c r="A5" s="14">
        <v>45295</v>
      </c>
      <c r="B5" s="15" t="str" cm="1">
        <f t="array" ref="B5">GREGORIAN_TO_PERSIAN('Basic Examples'!$A5)</f>
        <v>1402/10/14</v>
      </c>
      <c r="C5" s="15" t="str" cm="1">
        <f t="array" ref="C5">PERSIAN_DATE_FORMATTED('Basic Examples'!$A5)</f>
        <v>14 دي 1402</v>
      </c>
      <c r="D5" s="15" t="str" cm="1">
        <f t="array" ref="D5">PERSIAN_MONTH_NAME('Basic Examples'!$A5)</f>
        <v>دي</v>
      </c>
      <c r="E5" s="7" t="str" cm="1">
        <f t="array" ref="E5">PERSIAN_WEEKDAY_NAME('Basic Examples'!$A5)</f>
        <v>پنج‌شنبه</v>
      </c>
    </row>
    <row r="6" spans="1:5" x14ac:dyDescent="0.55000000000000004">
      <c r="A6" s="12">
        <v>45296</v>
      </c>
      <c r="B6" s="13" t="str" cm="1">
        <f t="array" ref="B6">GREGORIAN_TO_PERSIAN('Basic Examples'!$A6)</f>
        <v>1402/10/15</v>
      </c>
      <c r="C6" s="13" t="str" cm="1">
        <f t="array" ref="C6">PERSIAN_DATE_FORMATTED('Basic Examples'!$A6)</f>
        <v>15 دي 1402</v>
      </c>
      <c r="D6" s="13" t="str" cm="1">
        <f t="array" ref="D6">PERSIAN_MONTH_NAME('Basic Examples'!$A6)</f>
        <v>دي</v>
      </c>
      <c r="E6" s="8" t="str" cm="1">
        <f t="array" ref="E6">PERSIAN_WEEKDAY_NAME('Basic Examples'!$A6)</f>
        <v>جمعه</v>
      </c>
    </row>
    <row r="7" spans="1:5" x14ac:dyDescent="0.55000000000000004">
      <c r="A7" s="14">
        <v>45297</v>
      </c>
      <c r="B7" s="15" t="str" cm="1">
        <f t="array" ref="B7">GREGORIAN_TO_PERSIAN('Basic Examples'!$A7)</f>
        <v>1402/10/16</v>
      </c>
      <c r="C7" s="15" t="str" cm="1">
        <f t="array" ref="C7">PERSIAN_DATE_FORMATTED('Basic Examples'!$A7)</f>
        <v>16 دي 1402</v>
      </c>
      <c r="D7" s="15" t="str" cm="1">
        <f t="array" ref="D7">PERSIAN_MONTH_NAME('Basic Examples'!$A7)</f>
        <v>دي</v>
      </c>
      <c r="E7" s="7" t="str" cm="1">
        <f t="array" ref="E7">PERSIAN_WEEKDAY_NAME('Basic Examples'!$A7)</f>
        <v>شنبه</v>
      </c>
    </row>
    <row r="8" spans="1:5" x14ac:dyDescent="0.55000000000000004">
      <c r="A8" s="12">
        <v>45298</v>
      </c>
      <c r="B8" s="13" t="str" cm="1">
        <f t="array" ref="B8">GREGORIAN_TO_PERSIAN('Basic Examples'!$A8)</f>
        <v>1402/10/17</v>
      </c>
      <c r="C8" s="13" t="str" cm="1">
        <f t="array" ref="C8">PERSIAN_DATE_FORMATTED('Basic Examples'!$A8)</f>
        <v>17 دي 1402</v>
      </c>
      <c r="D8" s="13" t="str" cm="1">
        <f t="array" ref="D8">PERSIAN_MONTH_NAME('Basic Examples'!$A8)</f>
        <v>دي</v>
      </c>
      <c r="E8" s="8" t="str" cm="1">
        <f t="array" ref="E8">PERSIAN_WEEKDAY_NAME('Basic Examples'!$A8)</f>
        <v>يکشنبه</v>
      </c>
    </row>
    <row r="9" spans="1:5" x14ac:dyDescent="0.55000000000000004">
      <c r="A9" s="14">
        <v>45299</v>
      </c>
      <c r="B9" s="15" t="str" cm="1">
        <f t="array" ref="B9">GREGORIAN_TO_PERSIAN('Basic Examples'!$A9)</f>
        <v>1402/10/18</v>
      </c>
      <c r="C9" s="15" t="str" cm="1">
        <f t="array" ref="C9">PERSIAN_DATE_FORMATTED('Basic Examples'!$A9)</f>
        <v>18 دي 1402</v>
      </c>
      <c r="D9" s="15" t="str" cm="1">
        <f t="array" ref="D9">PERSIAN_MONTH_NAME('Basic Examples'!$A9)</f>
        <v>دي</v>
      </c>
      <c r="E9" s="7" t="str" cm="1">
        <f t="array" ref="E9">PERSIAN_WEEKDAY_NAME('Basic Examples'!$A9)</f>
        <v>دوشنبه</v>
      </c>
    </row>
    <row r="10" spans="1:5" x14ac:dyDescent="0.55000000000000004">
      <c r="A10" s="12">
        <v>45300</v>
      </c>
      <c r="B10" s="13" t="str" cm="1">
        <f t="array" ref="B10">GREGORIAN_TO_PERSIAN('Basic Examples'!$A10)</f>
        <v>1402/10/19</v>
      </c>
      <c r="C10" s="13" t="str" cm="1">
        <f t="array" ref="C10">PERSIAN_DATE_FORMATTED('Basic Examples'!$A10)</f>
        <v>19 دي 1402</v>
      </c>
      <c r="D10" s="13" t="str" cm="1">
        <f t="array" ref="D10">PERSIAN_MONTH_NAME('Basic Examples'!$A10)</f>
        <v>دي</v>
      </c>
      <c r="E10" s="8" t="str" cm="1">
        <f t="array" ref="E10">PERSIAN_WEEKDAY_NAME('Basic Examples'!$A10)</f>
        <v>سه‌شنبه</v>
      </c>
    </row>
    <row r="11" spans="1:5" x14ac:dyDescent="0.55000000000000004">
      <c r="A11" s="14">
        <v>45301</v>
      </c>
      <c r="B11" s="15" t="str" cm="1">
        <f t="array" ref="B11">GREGORIAN_TO_PERSIAN('Basic Examples'!$A11)</f>
        <v>1402/10/20</v>
      </c>
      <c r="C11" s="15" t="str" cm="1">
        <f t="array" ref="C11">PERSIAN_DATE_FORMATTED('Basic Examples'!$A11)</f>
        <v>20 دي 1402</v>
      </c>
      <c r="D11" s="15" t="str" cm="1">
        <f t="array" ref="D11">PERSIAN_MONTH_NAME('Basic Examples'!$A11)</f>
        <v>دي</v>
      </c>
      <c r="E11" s="7" t="str" cm="1">
        <f t="array" ref="E11">PERSIAN_WEEKDAY_NAME('Basic Examples'!$A11)</f>
        <v>چهارشنبه</v>
      </c>
    </row>
    <row r="12" spans="1:5" x14ac:dyDescent="0.55000000000000004">
      <c r="A12" s="12">
        <v>45302</v>
      </c>
      <c r="B12" s="13" t="str" cm="1">
        <f t="array" ref="B12">GREGORIAN_TO_PERSIAN('Basic Examples'!$A12)</f>
        <v>1402/10/21</v>
      </c>
      <c r="C12" s="13" t="str" cm="1">
        <f t="array" ref="C12">PERSIAN_DATE_FORMATTED('Basic Examples'!$A12)</f>
        <v>21 دي 1402</v>
      </c>
      <c r="D12" s="13" t="str" cm="1">
        <f t="array" ref="D12">PERSIAN_MONTH_NAME('Basic Examples'!$A12)</f>
        <v>دي</v>
      </c>
      <c r="E12" s="8" t="str" cm="1">
        <f t="array" ref="E12">PERSIAN_WEEKDAY_NAME('Basic Examples'!$A12)</f>
        <v>پنج‌شنبه</v>
      </c>
    </row>
    <row r="13" spans="1:5" x14ac:dyDescent="0.55000000000000004">
      <c r="A13" s="14">
        <v>45303</v>
      </c>
      <c r="B13" s="15" t="str" cm="1">
        <f t="array" ref="B13">GREGORIAN_TO_PERSIAN('Basic Examples'!$A13)</f>
        <v>1402/10/22</v>
      </c>
      <c r="C13" s="15" t="str" cm="1">
        <f t="array" ref="C13">PERSIAN_DATE_FORMATTED('Basic Examples'!$A13)</f>
        <v>22 دي 1402</v>
      </c>
      <c r="D13" s="15" t="str" cm="1">
        <f t="array" ref="D13">PERSIAN_MONTH_NAME('Basic Examples'!$A13)</f>
        <v>دي</v>
      </c>
      <c r="E13" s="7" t="str" cm="1">
        <f t="array" ref="E13">PERSIAN_WEEKDAY_NAME('Basic Examples'!$A13)</f>
        <v>جمعه</v>
      </c>
    </row>
    <row r="14" spans="1:5" x14ac:dyDescent="0.55000000000000004">
      <c r="A14" s="12">
        <v>45304</v>
      </c>
      <c r="B14" s="13" t="str" cm="1">
        <f t="array" ref="B14">GREGORIAN_TO_PERSIAN('Basic Examples'!$A14)</f>
        <v>1402/10/23</v>
      </c>
      <c r="C14" s="13" t="str" cm="1">
        <f t="array" ref="C14">PERSIAN_DATE_FORMATTED('Basic Examples'!$A14)</f>
        <v>23 دي 1402</v>
      </c>
      <c r="D14" s="13" t="str" cm="1">
        <f t="array" ref="D14">PERSIAN_MONTH_NAME('Basic Examples'!$A14)</f>
        <v>دي</v>
      </c>
      <c r="E14" s="8" t="str" cm="1">
        <f t="array" ref="E14">PERSIAN_WEEKDAY_NAME('Basic Examples'!$A14)</f>
        <v>شنبه</v>
      </c>
    </row>
    <row r="15" spans="1:5" x14ac:dyDescent="0.55000000000000004">
      <c r="A15" s="14">
        <v>45305</v>
      </c>
      <c r="B15" s="15" t="str" cm="1">
        <f t="array" ref="B15">GREGORIAN_TO_PERSIAN('Basic Examples'!$A15)</f>
        <v>1402/10/24</v>
      </c>
      <c r="C15" s="15" t="str" cm="1">
        <f t="array" ref="C15">PERSIAN_DATE_FORMATTED('Basic Examples'!$A15)</f>
        <v>24 دي 1402</v>
      </c>
      <c r="D15" s="15" t="str" cm="1">
        <f t="array" ref="D15">PERSIAN_MONTH_NAME('Basic Examples'!$A15)</f>
        <v>دي</v>
      </c>
      <c r="E15" s="7" t="str" cm="1">
        <f t="array" ref="E15">PERSIAN_WEEKDAY_NAME('Basic Examples'!$A15)</f>
        <v>يکشنبه</v>
      </c>
    </row>
    <row r="16" spans="1:5" x14ac:dyDescent="0.55000000000000004">
      <c r="A16" s="12">
        <v>45306</v>
      </c>
      <c r="B16" s="13" t="str" cm="1">
        <f t="array" ref="B16">GREGORIAN_TO_PERSIAN('Basic Examples'!$A16)</f>
        <v>1402/10/25</v>
      </c>
      <c r="C16" s="13" t="str" cm="1">
        <f t="array" ref="C16">PERSIAN_DATE_FORMATTED('Basic Examples'!$A16)</f>
        <v>25 دي 1402</v>
      </c>
      <c r="D16" s="13" t="str" cm="1">
        <f t="array" ref="D16">PERSIAN_MONTH_NAME('Basic Examples'!$A16)</f>
        <v>دي</v>
      </c>
      <c r="E16" s="8" t="str" cm="1">
        <f t="array" ref="E16">PERSIAN_WEEKDAY_NAME('Basic Examples'!$A16)</f>
        <v>دوشنبه</v>
      </c>
    </row>
    <row r="17" spans="1:5" x14ac:dyDescent="0.55000000000000004">
      <c r="A17" s="14">
        <v>45307</v>
      </c>
      <c r="B17" s="15" t="str" cm="1">
        <f t="array" ref="B17">GREGORIAN_TO_PERSIAN('Basic Examples'!$A17)</f>
        <v>1402/10/26</v>
      </c>
      <c r="C17" s="15" t="str" cm="1">
        <f t="array" ref="C17">PERSIAN_DATE_FORMATTED('Basic Examples'!$A17)</f>
        <v>26 دي 1402</v>
      </c>
      <c r="D17" s="15" t="str" cm="1">
        <f t="array" ref="D17">PERSIAN_MONTH_NAME('Basic Examples'!$A17)</f>
        <v>دي</v>
      </c>
      <c r="E17" s="7" t="str" cm="1">
        <f t="array" ref="E17">PERSIAN_WEEKDAY_NAME('Basic Examples'!$A17)</f>
        <v>سه‌شنبه</v>
      </c>
    </row>
    <row r="18" spans="1:5" x14ac:dyDescent="0.55000000000000004">
      <c r="A18" s="12">
        <v>45308</v>
      </c>
      <c r="B18" s="13" t="str" cm="1">
        <f t="array" ref="B18">GREGORIAN_TO_PERSIAN('Basic Examples'!$A18)</f>
        <v>1402/10/27</v>
      </c>
      <c r="C18" s="13" t="str" cm="1">
        <f t="array" ref="C18">PERSIAN_DATE_FORMATTED('Basic Examples'!$A18)</f>
        <v>27 دي 1402</v>
      </c>
      <c r="D18" s="13" t="str" cm="1">
        <f t="array" ref="D18">PERSIAN_MONTH_NAME('Basic Examples'!$A18)</f>
        <v>دي</v>
      </c>
      <c r="E18" s="8" t="str" cm="1">
        <f t="array" ref="E18">PERSIAN_WEEKDAY_NAME('Basic Examples'!$A18)</f>
        <v>چهارشنبه</v>
      </c>
    </row>
    <row r="19" spans="1:5" x14ac:dyDescent="0.55000000000000004">
      <c r="A19" s="14">
        <v>45309</v>
      </c>
      <c r="B19" s="15" t="str" cm="1">
        <f t="array" ref="B19">GREGORIAN_TO_PERSIAN('Basic Examples'!$A19)</f>
        <v>1402/10/28</v>
      </c>
      <c r="C19" s="15" t="str" cm="1">
        <f t="array" ref="C19">PERSIAN_DATE_FORMATTED('Basic Examples'!$A19)</f>
        <v>28 دي 1402</v>
      </c>
      <c r="D19" s="15" t="str" cm="1">
        <f t="array" ref="D19">PERSIAN_MONTH_NAME('Basic Examples'!$A19)</f>
        <v>دي</v>
      </c>
      <c r="E19" s="7" t="str" cm="1">
        <f t="array" ref="E19">PERSIAN_WEEKDAY_NAME('Basic Examples'!$A19)</f>
        <v>پنج‌شنبه</v>
      </c>
    </row>
    <row r="20" spans="1:5" x14ac:dyDescent="0.55000000000000004">
      <c r="A20" s="12">
        <v>45310</v>
      </c>
      <c r="B20" s="13" t="str" cm="1">
        <f t="array" ref="B20">GREGORIAN_TO_PERSIAN('Basic Examples'!$A20)</f>
        <v>1402/10/29</v>
      </c>
      <c r="C20" s="13" t="str" cm="1">
        <f t="array" ref="C20">PERSIAN_DATE_FORMATTED('Basic Examples'!$A20)</f>
        <v>29 دي 1402</v>
      </c>
      <c r="D20" s="13" t="str" cm="1">
        <f t="array" ref="D20">PERSIAN_MONTH_NAME('Basic Examples'!$A20)</f>
        <v>دي</v>
      </c>
      <c r="E20" s="8" t="str" cm="1">
        <f t="array" ref="E20">PERSIAN_WEEKDAY_NAME('Basic Examples'!$A20)</f>
        <v>جمعه</v>
      </c>
    </row>
    <row r="21" spans="1:5" x14ac:dyDescent="0.55000000000000004">
      <c r="A21" s="14">
        <v>45311</v>
      </c>
      <c r="B21" s="15" t="str" cm="1">
        <f t="array" ref="B21">GREGORIAN_TO_PERSIAN('Basic Examples'!$A21)</f>
        <v>1402/10/30</v>
      </c>
      <c r="C21" s="15" t="str" cm="1">
        <f t="array" ref="C21">PERSIAN_DATE_FORMATTED('Basic Examples'!$A21)</f>
        <v>30 دي 1402</v>
      </c>
      <c r="D21" s="15" t="str" cm="1">
        <f t="array" ref="D21">PERSIAN_MONTH_NAME('Basic Examples'!$A21)</f>
        <v>دي</v>
      </c>
      <c r="E21" s="7" t="str" cm="1">
        <f t="array" ref="E21">PERSIAN_WEEKDAY_NAME('Basic Examples'!$A21)</f>
        <v>شنبه</v>
      </c>
    </row>
    <row r="22" spans="1:5" x14ac:dyDescent="0.55000000000000004">
      <c r="A22" s="12">
        <v>45312</v>
      </c>
      <c r="B22" s="13" t="str" cm="1">
        <f t="array" ref="B22">GREGORIAN_TO_PERSIAN('Basic Examples'!$A22)</f>
        <v>1402/11/01</v>
      </c>
      <c r="C22" s="13" t="str" cm="1">
        <f t="array" ref="C22">PERSIAN_DATE_FORMATTED('Basic Examples'!$A22)</f>
        <v>1 بهمن 1402</v>
      </c>
      <c r="D22" s="13" t="str" cm="1">
        <f t="array" ref="D22">PERSIAN_MONTH_NAME('Basic Examples'!$A22)</f>
        <v>بهمن</v>
      </c>
      <c r="E22" s="8" t="str" cm="1">
        <f t="array" ref="E22">PERSIAN_WEEKDAY_NAME('Basic Examples'!$A22)</f>
        <v>يکشنبه</v>
      </c>
    </row>
    <row r="23" spans="1:5" x14ac:dyDescent="0.55000000000000004">
      <c r="A23" s="14">
        <v>45313</v>
      </c>
      <c r="B23" s="15" t="str" cm="1">
        <f t="array" ref="B23">GREGORIAN_TO_PERSIAN('Basic Examples'!$A23)</f>
        <v>1402/11/02</v>
      </c>
      <c r="C23" s="15" t="str" cm="1">
        <f t="array" ref="C23">PERSIAN_DATE_FORMATTED('Basic Examples'!$A23)</f>
        <v>2 بهمن 1402</v>
      </c>
      <c r="D23" s="15" t="str" cm="1">
        <f t="array" ref="D23">PERSIAN_MONTH_NAME('Basic Examples'!$A23)</f>
        <v>بهمن</v>
      </c>
      <c r="E23" s="7" t="str" cm="1">
        <f t="array" ref="E23">PERSIAN_WEEKDAY_NAME('Basic Examples'!$A23)</f>
        <v>دوشنبه</v>
      </c>
    </row>
    <row r="24" spans="1:5" x14ac:dyDescent="0.55000000000000004">
      <c r="A24" s="12">
        <v>45314</v>
      </c>
      <c r="B24" s="13" t="str" cm="1">
        <f t="array" ref="B24">GREGORIAN_TO_PERSIAN('Basic Examples'!$A24)</f>
        <v>1402/11/03</v>
      </c>
      <c r="C24" s="13" t="str" cm="1">
        <f t="array" ref="C24">PERSIAN_DATE_FORMATTED('Basic Examples'!$A24)</f>
        <v>3 بهمن 1402</v>
      </c>
      <c r="D24" s="13" t="str" cm="1">
        <f t="array" ref="D24">PERSIAN_MONTH_NAME('Basic Examples'!$A24)</f>
        <v>بهمن</v>
      </c>
      <c r="E24" s="8" t="str" cm="1">
        <f t="array" ref="E24">PERSIAN_WEEKDAY_NAME('Basic Examples'!$A24)</f>
        <v>سه‌شنبه</v>
      </c>
    </row>
    <row r="25" spans="1:5" x14ac:dyDescent="0.55000000000000004">
      <c r="A25" s="14">
        <v>45315</v>
      </c>
      <c r="B25" s="15" t="str" cm="1">
        <f t="array" ref="B25">GREGORIAN_TO_PERSIAN('Basic Examples'!$A25)</f>
        <v>1402/11/04</v>
      </c>
      <c r="C25" s="15" t="str" cm="1">
        <f t="array" ref="C25">PERSIAN_DATE_FORMATTED('Basic Examples'!$A25)</f>
        <v>4 بهمن 1402</v>
      </c>
      <c r="D25" s="15" t="str" cm="1">
        <f t="array" ref="D25">PERSIAN_MONTH_NAME('Basic Examples'!$A25)</f>
        <v>بهمن</v>
      </c>
      <c r="E25" s="7" t="str" cm="1">
        <f t="array" ref="E25">PERSIAN_WEEKDAY_NAME('Basic Examples'!$A25)</f>
        <v>چهارشنبه</v>
      </c>
    </row>
    <row r="26" spans="1:5" x14ac:dyDescent="0.55000000000000004">
      <c r="A26" s="12">
        <v>45316</v>
      </c>
      <c r="B26" s="13" t="str" cm="1">
        <f t="array" ref="B26">GREGORIAN_TO_PERSIAN('Basic Examples'!$A26)</f>
        <v>1402/11/05</v>
      </c>
      <c r="C26" s="13" t="str" cm="1">
        <f t="array" ref="C26">PERSIAN_DATE_FORMATTED('Basic Examples'!$A26)</f>
        <v>5 بهمن 1402</v>
      </c>
      <c r="D26" s="13" t="str" cm="1">
        <f t="array" ref="D26">PERSIAN_MONTH_NAME('Basic Examples'!$A26)</f>
        <v>بهمن</v>
      </c>
      <c r="E26" s="8" t="str" cm="1">
        <f t="array" ref="E26">PERSIAN_WEEKDAY_NAME('Basic Examples'!$A26)</f>
        <v>پنج‌شنبه</v>
      </c>
    </row>
    <row r="27" spans="1:5" x14ac:dyDescent="0.55000000000000004">
      <c r="A27" s="14">
        <v>45317</v>
      </c>
      <c r="B27" s="15" t="str" cm="1">
        <f t="array" ref="B27">GREGORIAN_TO_PERSIAN('Basic Examples'!$A27)</f>
        <v>1402/11/06</v>
      </c>
      <c r="C27" s="15" t="str" cm="1">
        <f t="array" ref="C27">PERSIAN_DATE_FORMATTED('Basic Examples'!$A27)</f>
        <v>6 بهمن 1402</v>
      </c>
      <c r="D27" s="15" t="str" cm="1">
        <f t="array" ref="D27">PERSIAN_MONTH_NAME('Basic Examples'!$A27)</f>
        <v>بهمن</v>
      </c>
      <c r="E27" s="7" t="str" cm="1">
        <f t="array" ref="E27">PERSIAN_WEEKDAY_NAME('Basic Examples'!$A27)</f>
        <v>جمعه</v>
      </c>
    </row>
    <row r="28" spans="1:5" x14ac:dyDescent="0.55000000000000004">
      <c r="A28" s="12">
        <v>45318</v>
      </c>
      <c r="B28" s="13" t="str" cm="1">
        <f t="array" ref="B28">GREGORIAN_TO_PERSIAN('Basic Examples'!$A28)</f>
        <v>1402/11/07</v>
      </c>
      <c r="C28" s="13" t="str" cm="1">
        <f t="array" ref="C28">PERSIAN_DATE_FORMATTED('Basic Examples'!$A28)</f>
        <v>7 بهمن 1402</v>
      </c>
      <c r="D28" s="13" t="str" cm="1">
        <f t="array" ref="D28">PERSIAN_MONTH_NAME('Basic Examples'!$A28)</f>
        <v>بهمن</v>
      </c>
      <c r="E28" s="8" t="str" cm="1">
        <f t="array" ref="E28">PERSIAN_WEEKDAY_NAME('Basic Examples'!$A28)</f>
        <v>شنبه</v>
      </c>
    </row>
    <row r="29" spans="1:5" x14ac:dyDescent="0.55000000000000004">
      <c r="A29" s="14">
        <v>45319</v>
      </c>
      <c r="B29" s="15" t="str" cm="1">
        <f t="array" ref="B29">GREGORIAN_TO_PERSIAN('Basic Examples'!$A29)</f>
        <v>1402/11/08</v>
      </c>
      <c r="C29" s="15" t="str" cm="1">
        <f t="array" ref="C29">PERSIAN_DATE_FORMATTED('Basic Examples'!$A29)</f>
        <v>8 بهمن 1402</v>
      </c>
      <c r="D29" s="15" t="str" cm="1">
        <f t="array" ref="D29">PERSIAN_MONTH_NAME('Basic Examples'!$A29)</f>
        <v>بهمن</v>
      </c>
      <c r="E29" s="7" t="str" cm="1">
        <f t="array" ref="E29">PERSIAN_WEEKDAY_NAME('Basic Examples'!$A29)</f>
        <v>يکشنبه</v>
      </c>
    </row>
    <row r="30" spans="1:5" x14ac:dyDescent="0.55000000000000004">
      <c r="A30" s="12">
        <v>45320</v>
      </c>
      <c r="B30" s="13" t="str" cm="1">
        <f t="array" ref="B30">GREGORIAN_TO_PERSIAN('Basic Examples'!$A30)</f>
        <v>1402/11/09</v>
      </c>
      <c r="C30" s="13" t="str" cm="1">
        <f t="array" ref="C30">PERSIAN_DATE_FORMATTED('Basic Examples'!$A30)</f>
        <v>9 بهمن 1402</v>
      </c>
      <c r="D30" s="13" t="str" cm="1">
        <f t="array" ref="D30">PERSIAN_MONTH_NAME('Basic Examples'!$A30)</f>
        <v>بهمن</v>
      </c>
      <c r="E30" s="8" t="str" cm="1">
        <f t="array" ref="E30">PERSIAN_WEEKDAY_NAME('Basic Examples'!$A30)</f>
        <v>دوشنبه</v>
      </c>
    </row>
    <row r="31" spans="1:5" x14ac:dyDescent="0.55000000000000004">
      <c r="A31" s="16">
        <v>45321</v>
      </c>
      <c r="B31" s="17" t="str" cm="1">
        <f t="array" ref="B31">GREGORIAN_TO_PERSIAN('Basic Examples'!$A31)</f>
        <v>1402/11/10</v>
      </c>
      <c r="C31" s="17" t="str" cm="1">
        <f t="array" ref="C31">PERSIAN_DATE_FORMATTED('Basic Examples'!$A31)</f>
        <v>10 بهمن 1402</v>
      </c>
      <c r="D31" s="17" t="str" cm="1">
        <f t="array" ref="D31">PERSIAN_MONTH_NAME('Basic Examples'!$A31)</f>
        <v>بهمن</v>
      </c>
      <c r="E31" s="10" t="str" cm="1">
        <f t="array" ref="E31">PERSIAN_WEEKDAY_NAME('Basic Examples'!$A31)</f>
        <v>سه‌شنبه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211049-E1C4-4674-94CB-0783B881B8E7}">
  <sheetPr codeName="Sheet2"/>
  <dimension ref="A1:E31"/>
  <sheetViews>
    <sheetView workbookViewId="0">
      <selection activeCell="B10" sqref="B10"/>
    </sheetView>
  </sheetViews>
  <sheetFormatPr defaultRowHeight="14.4" x14ac:dyDescent="0.55000000000000004"/>
  <cols>
    <col min="1" max="5" width="20.578125" style="2" customWidth="1"/>
  </cols>
  <sheetData>
    <row r="1" spans="1:5" x14ac:dyDescent="0.55000000000000004">
      <c r="A1" s="3" t="s">
        <v>1</v>
      </c>
      <c r="B1" s="11" t="s">
        <v>0</v>
      </c>
      <c r="C1" s="11" t="s">
        <v>5</v>
      </c>
      <c r="D1" s="11" t="s">
        <v>6</v>
      </c>
      <c r="E1" s="4" t="s">
        <v>7</v>
      </c>
    </row>
    <row r="2" spans="1:5" x14ac:dyDescent="0.55000000000000004">
      <c r="A2" s="5" t="s">
        <v>8</v>
      </c>
      <c r="B2" s="18" cm="1">
        <f t="array" ref="B2">PERSIAN_TO_GREGORIAN(A2)</f>
        <v>45371</v>
      </c>
      <c r="C2" s="13">
        <f>YEAR('Persian to Gregorian'!$B2)</f>
        <v>2024</v>
      </c>
      <c r="D2" s="13">
        <f>MONTH('Persian to Gregorian'!$B2)</f>
        <v>3</v>
      </c>
      <c r="E2" s="8">
        <f>DAY('Persian to Gregorian'!$B2)</f>
        <v>20</v>
      </c>
    </row>
    <row r="3" spans="1:5" x14ac:dyDescent="0.55000000000000004">
      <c r="A3" s="6" t="s">
        <v>9</v>
      </c>
      <c r="B3" s="19" cm="1">
        <f t="array" ref="B3">PERSIAN_TO_GREGORIAN(A3)</f>
        <v>45372</v>
      </c>
      <c r="C3" s="15">
        <f>YEAR('Persian to Gregorian'!$B3)</f>
        <v>2024</v>
      </c>
      <c r="D3" s="15">
        <f>MONTH('Persian to Gregorian'!$B3)</f>
        <v>3</v>
      </c>
      <c r="E3" s="7">
        <f>DAY('Persian to Gregorian'!$B3)</f>
        <v>21</v>
      </c>
    </row>
    <row r="4" spans="1:5" x14ac:dyDescent="0.55000000000000004">
      <c r="A4" s="5" t="s">
        <v>10</v>
      </c>
      <c r="B4" s="18" cm="1">
        <f t="array" ref="B4">PERSIAN_TO_GREGORIAN(A4)</f>
        <v>45373</v>
      </c>
      <c r="C4" s="13">
        <f>YEAR('Persian to Gregorian'!$B4)</f>
        <v>2024</v>
      </c>
      <c r="D4" s="13">
        <f>MONTH('Persian to Gregorian'!$B4)</f>
        <v>3</v>
      </c>
      <c r="E4" s="8">
        <f>DAY('Persian to Gregorian'!$B4)</f>
        <v>22</v>
      </c>
    </row>
    <row r="5" spans="1:5" x14ac:dyDescent="0.55000000000000004">
      <c r="A5" s="6" t="s">
        <v>11</v>
      </c>
      <c r="B5" s="19" cm="1">
        <f t="array" ref="B5">PERSIAN_TO_GREGORIAN(A5)</f>
        <v>45374</v>
      </c>
      <c r="C5" s="15">
        <f>YEAR('Persian to Gregorian'!$B5)</f>
        <v>2024</v>
      </c>
      <c r="D5" s="15">
        <f>MONTH('Persian to Gregorian'!$B5)</f>
        <v>3</v>
      </c>
      <c r="E5" s="7">
        <f>DAY('Persian to Gregorian'!$B5)</f>
        <v>23</v>
      </c>
    </row>
    <row r="6" spans="1:5" x14ac:dyDescent="0.55000000000000004">
      <c r="A6" s="5" t="s">
        <v>12</v>
      </c>
      <c r="B6" s="18" cm="1">
        <f t="array" ref="B6">PERSIAN_TO_GREGORIAN(A6)</f>
        <v>45375</v>
      </c>
      <c r="C6" s="13">
        <f>YEAR('Persian to Gregorian'!$B6)</f>
        <v>2024</v>
      </c>
      <c r="D6" s="13">
        <f>MONTH('Persian to Gregorian'!$B6)</f>
        <v>3</v>
      </c>
      <c r="E6" s="8">
        <f>DAY('Persian to Gregorian'!$B6)</f>
        <v>24</v>
      </c>
    </row>
    <row r="7" spans="1:5" x14ac:dyDescent="0.55000000000000004">
      <c r="A7" s="6" t="s">
        <v>13</v>
      </c>
      <c r="B7" s="19" cm="1">
        <f t="array" ref="B7">PERSIAN_TO_GREGORIAN(A7)</f>
        <v>45376</v>
      </c>
      <c r="C7" s="15">
        <f>YEAR('Persian to Gregorian'!$B7)</f>
        <v>2024</v>
      </c>
      <c r="D7" s="15">
        <f>MONTH('Persian to Gregorian'!$B7)</f>
        <v>3</v>
      </c>
      <c r="E7" s="7">
        <f>DAY('Persian to Gregorian'!$B7)</f>
        <v>25</v>
      </c>
    </row>
    <row r="8" spans="1:5" x14ac:dyDescent="0.55000000000000004">
      <c r="A8" s="5" t="s">
        <v>14</v>
      </c>
      <c r="B8" s="18" cm="1">
        <f t="array" ref="B8">PERSIAN_TO_GREGORIAN(A8)</f>
        <v>45377</v>
      </c>
      <c r="C8" s="13">
        <f>YEAR('Persian to Gregorian'!$B8)</f>
        <v>2024</v>
      </c>
      <c r="D8" s="13">
        <f>MONTH('Persian to Gregorian'!$B8)</f>
        <v>3</v>
      </c>
      <c r="E8" s="8">
        <f>DAY('Persian to Gregorian'!$B8)</f>
        <v>26</v>
      </c>
    </row>
    <row r="9" spans="1:5" x14ac:dyDescent="0.55000000000000004">
      <c r="A9" s="6" t="s">
        <v>15</v>
      </c>
      <c r="B9" s="19" cm="1">
        <f t="array" ref="B9">PERSIAN_TO_GREGORIAN(A9)</f>
        <v>45378</v>
      </c>
      <c r="C9" s="15">
        <f>YEAR('Persian to Gregorian'!$B9)</f>
        <v>2024</v>
      </c>
      <c r="D9" s="15">
        <f>MONTH('Persian to Gregorian'!$B9)</f>
        <v>3</v>
      </c>
      <c r="E9" s="7">
        <f>DAY('Persian to Gregorian'!$B9)</f>
        <v>27</v>
      </c>
    </row>
    <row r="10" spans="1:5" x14ac:dyDescent="0.55000000000000004">
      <c r="A10" s="5" t="s">
        <v>16</v>
      </c>
      <c r="B10" s="18" cm="1">
        <f t="array" ref="B10">PERSIAN_TO_GREGORIAN(A10)</f>
        <v>45379</v>
      </c>
      <c r="C10" s="13">
        <f>YEAR('Persian to Gregorian'!$B10)</f>
        <v>2024</v>
      </c>
      <c r="D10" s="13">
        <f>MONTH('Persian to Gregorian'!$B10)</f>
        <v>3</v>
      </c>
      <c r="E10" s="8">
        <f>DAY('Persian to Gregorian'!$B10)</f>
        <v>28</v>
      </c>
    </row>
    <row r="11" spans="1:5" x14ac:dyDescent="0.55000000000000004">
      <c r="A11" s="6" t="s">
        <v>17</v>
      </c>
      <c r="B11" s="19" cm="1">
        <f t="array" ref="B11">PERSIAN_TO_GREGORIAN(A11)</f>
        <v>45380</v>
      </c>
      <c r="C11" s="15">
        <f>YEAR('Persian to Gregorian'!$B11)</f>
        <v>2024</v>
      </c>
      <c r="D11" s="15">
        <f>MONTH('Persian to Gregorian'!$B11)</f>
        <v>3</v>
      </c>
      <c r="E11" s="7">
        <f>DAY('Persian to Gregorian'!$B11)</f>
        <v>29</v>
      </c>
    </row>
    <row r="12" spans="1:5" x14ac:dyDescent="0.55000000000000004">
      <c r="A12" s="5" t="s">
        <v>18</v>
      </c>
      <c r="B12" s="18" cm="1">
        <f t="array" ref="B12">PERSIAN_TO_GREGORIAN(A12)</f>
        <v>45381</v>
      </c>
      <c r="C12" s="13">
        <f>YEAR('Persian to Gregorian'!$B12)</f>
        <v>2024</v>
      </c>
      <c r="D12" s="13">
        <f>MONTH('Persian to Gregorian'!$B12)</f>
        <v>3</v>
      </c>
      <c r="E12" s="8">
        <f>DAY('Persian to Gregorian'!$B12)</f>
        <v>30</v>
      </c>
    </row>
    <row r="13" spans="1:5" x14ac:dyDescent="0.55000000000000004">
      <c r="A13" s="6" t="s">
        <v>19</v>
      </c>
      <c r="B13" s="19" cm="1">
        <f t="array" ref="B13">PERSIAN_TO_GREGORIAN(A13)</f>
        <v>45382</v>
      </c>
      <c r="C13" s="15">
        <f>YEAR('Persian to Gregorian'!$B13)</f>
        <v>2024</v>
      </c>
      <c r="D13" s="15">
        <f>MONTH('Persian to Gregorian'!$B13)</f>
        <v>3</v>
      </c>
      <c r="E13" s="7">
        <f>DAY('Persian to Gregorian'!$B13)</f>
        <v>31</v>
      </c>
    </row>
    <row r="14" spans="1:5" x14ac:dyDescent="0.55000000000000004">
      <c r="A14" s="5" t="s">
        <v>20</v>
      </c>
      <c r="B14" s="18" cm="1">
        <f t="array" ref="B14">PERSIAN_TO_GREGORIAN(A14)</f>
        <v>45383</v>
      </c>
      <c r="C14" s="13">
        <f>YEAR('Persian to Gregorian'!$B14)</f>
        <v>2024</v>
      </c>
      <c r="D14" s="13">
        <f>MONTH('Persian to Gregorian'!$B14)</f>
        <v>4</v>
      </c>
      <c r="E14" s="8">
        <f>DAY('Persian to Gregorian'!$B14)</f>
        <v>1</v>
      </c>
    </row>
    <row r="15" spans="1:5" x14ac:dyDescent="0.55000000000000004">
      <c r="A15" s="6" t="s">
        <v>21</v>
      </c>
      <c r="B15" s="19" cm="1">
        <f t="array" ref="B15">PERSIAN_TO_GREGORIAN(A15)</f>
        <v>45384</v>
      </c>
      <c r="C15" s="15">
        <f>YEAR('Persian to Gregorian'!$B15)</f>
        <v>2024</v>
      </c>
      <c r="D15" s="15">
        <f>MONTH('Persian to Gregorian'!$B15)</f>
        <v>4</v>
      </c>
      <c r="E15" s="7">
        <f>DAY('Persian to Gregorian'!$B15)</f>
        <v>2</v>
      </c>
    </row>
    <row r="16" spans="1:5" x14ac:dyDescent="0.55000000000000004">
      <c r="A16" s="5" t="s">
        <v>22</v>
      </c>
      <c r="B16" s="18" cm="1">
        <f t="array" ref="B16">PERSIAN_TO_GREGORIAN(A16)</f>
        <v>45385</v>
      </c>
      <c r="C16" s="13">
        <f>YEAR('Persian to Gregorian'!$B16)</f>
        <v>2024</v>
      </c>
      <c r="D16" s="13">
        <f>MONTH('Persian to Gregorian'!$B16)</f>
        <v>4</v>
      </c>
      <c r="E16" s="8">
        <f>DAY('Persian to Gregorian'!$B16)</f>
        <v>3</v>
      </c>
    </row>
    <row r="17" spans="1:5" x14ac:dyDescent="0.55000000000000004">
      <c r="A17" s="6" t="s">
        <v>23</v>
      </c>
      <c r="B17" s="19" cm="1">
        <f t="array" ref="B17">PERSIAN_TO_GREGORIAN(A17)</f>
        <v>45386</v>
      </c>
      <c r="C17" s="15">
        <f>YEAR('Persian to Gregorian'!$B17)</f>
        <v>2024</v>
      </c>
      <c r="D17" s="15">
        <f>MONTH('Persian to Gregorian'!$B17)</f>
        <v>4</v>
      </c>
      <c r="E17" s="7">
        <f>DAY('Persian to Gregorian'!$B17)</f>
        <v>4</v>
      </c>
    </row>
    <row r="18" spans="1:5" x14ac:dyDescent="0.55000000000000004">
      <c r="A18" s="5" t="s">
        <v>24</v>
      </c>
      <c r="B18" s="18" cm="1">
        <f t="array" ref="B18">PERSIAN_TO_GREGORIAN(A18)</f>
        <v>45387</v>
      </c>
      <c r="C18" s="13">
        <f>YEAR('Persian to Gregorian'!$B18)</f>
        <v>2024</v>
      </c>
      <c r="D18" s="13">
        <f>MONTH('Persian to Gregorian'!$B18)</f>
        <v>4</v>
      </c>
      <c r="E18" s="8">
        <f>DAY('Persian to Gregorian'!$B18)</f>
        <v>5</v>
      </c>
    </row>
    <row r="19" spans="1:5" x14ac:dyDescent="0.55000000000000004">
      <c r="A19" s="6" t="s">
        <v>25</v>
      </c>
      <c r="B19" s="19" cm="1">
        <f t="array" ref="B19">PERSIAN_TO_GREGORIAN(A19)</f>
        <v>45388</v>
      </c>
      <c r="C19" s="15">
        <f>YEAR('Persian to Gregorian'!$B19)</f>
        <v>2024</v>
      </c>
      <c r="D19" s="15">
        <f>MONTH('Persian to Gregorian'!$B19)</f>
        <v>4</v>
      </c>
      <c r="E19" s="7">
        <f>DAY('Persian to Gregorian'!$B19)</f>
        <v>6</v>
      </c>
    </row>
    <row r="20" spans="1:5" x14ac:dyDescent="0.55000000000000004">
      <c r="A20" s="5" t="s">
        <v>26</v>
      </c>
      <c r="B20" s="18" cm="1">
        <f t="array" ref="B20">PERSIAN_TO_GREGORIAN(A20)</f>
        <v>45389</v>
      </c>
      <c r="C20" s="13">
        <f>YEAR('Persian to Gregorian'!$B20)</f>
        <v>2024</v>
      </c>
      <c r="D20" s="13">
        <f>MONTH('Persian to Gregorian'!$B20)</f>
        <v>4</v>
      </c>
      <c r="E20" s="8">
        <f>DAY('Persian to Gregorian'!$B20)</f>
        <v>7</v>
      </c>
    </row>
    <row r="21" spans="1:5" x14ac:dyDescent="0.55000000000000004">
      <c r="A21" s="6" t="s">
        <v>27</v>
      </c>
      <c r="B21" s="19" cm="1">
        <f t="array" ref="B21">PERSIAN_TO_GREGORIAN(A21)</f>
        <v>45390</v>
      </c>
      <c r="C21" s="15">
        <f>YEAR('Persian to Gregorian'!$B21)</f>
        <v>2024</v>
      </c>
      <c r="D21" s="15">
        <f>MONTH('Persian to Gregorian'!$B21)</f>
        <v>4</v>
      </c>
      <c r="E21" s="7">
        <f>DAY('Persian to Gregorian'!$B21)</f>
        <v>8</v>
      </c>
    </row>
    <row r="22" spans="1:5" x14ac:dyDescent="0.55000000000000004">
      <c r="A22" s="5" t="s">
        <v>28</v>
      </c>
      <c r="B22" s="18" cm="1">
        <f t="array" ref="B22">PERSIAN_TO_GREGORIAN(A22)</f>
        <v>45391</v>
      </c>
      <c r="C22" s="13">
        <f>YEAR('Persian to Gregorian'!$B22)</f>
        <v>2024</v>
      </c>
      <c r="D22" s="13">
        <f>MONTH('Persian to Gregorian'!$B22)</f>
        <v>4</v>
      </c>
      <c r="E22" s="8">
        <f>DAY('Persian to Gregorian'!$B22)</f>
        <v>9</v>
      </c>
    </row>
    <row r="23" spans="1:5" x14ac:dyDescent="0.55000000000000004">
      <c r="A23" s="6" t="s">
        <v>29</v>
      </c>
      <c r="B23" s="19" cm="1">
        <f t="array" ref="B23">PERSIAN_TO_GREGORIAN(A23)</f>
        <v>45392</v>
      </c>
      <c r="C23" s="15">
        <f>YEAR('Persian to Gregorian'!$B23)</f>
        <v>2024</v>
      </c>
      <c r="D23" s="15">
        <f>MONTH('Persian to Gregorian'!$B23)</f>
        <v>4</v>
      </c>
      <c r="E23" s="7">
        <f>DAY('Persian to Gregorian'!$B23)</f>
        <v>10</v>
      </c>
    </row>
    <row r="24" spans="1:5" x14ac:dyDescent="0.55000000000000004">
      <c r="A24" s="5" t="s">
        <v>30</v>
      </c>
      <c r="B24" s="18" cm="1">
        <f t="array" ref="B24">PERSIAN_TO_GREGORIAN(A24)</f>
        <v>45393</v>
      </c>
      <c r="C24" s="13">
        <f>YEAR('Persian to Gregorian'!$B24)</f>
        <v>2024</v>
      </c>
      <c r="D24" s="13">
        <f>MONTH('Persian to Gregorian'!$B24)</f>
        <v>4</v>
      </c>
      <c r="E24" s="8">
        <f>DAY('Persian to Gregorian'!$B24)</f>
        <v>11</v>
      </c>
    </row>
    <row r="25" spans="1:5" x14ac:dyDescent="0.55000000000000004">
      <c r="A25" s="6" t="s">
        <v>31</v>
      </c>
      <c r="B25" s="19" cm="1">
        <f t="array" ref="B25">PERSIAN_TO_GREGORIAN(A25)</f>
        <v>45394</v>
      </c>
      <c r="C25" s="15">
        <f>YEAR('Persian to Gregorian'!$B25)</f>
        <v>2024</v>
      </c>
      <c r="D25" s="15">
        <f>MONTH('Persian to Gregorian'!$B25)</f>
        <v>4</v>
      </c>
      <c r="E25" s="7">
        <f>DAY('Persian to Gregorian'!$B25)</f>
        <v>12</v>
      </c>
    </row>
    <row r="26" spans="1:5" x14ac:dyDescent="0.55000000000000004">
      <c r="A26" s="5" t="s">
        <v>32</v>
      </c>
      <c r="B26" s="18" cm="1">
        <f t="array" ref="B26">PERSIAN_TO_GREGORIAN(A26)</f>
        <v>45395</v>
      </c>
      <c r="C26" s="13">
        <f>YEAR('Persian to Gregorian'!$B26)</f>
        <v>2024</v>
      </c>
      <c r="D26" s="13">
        <f>MONTH('Persian to Gregorian'!$B26)</f>
        <v>4</v>
      </c>
      <c r="E26" s="8">
        <f>DAY('Persian to Gregorian'!$B26)</f>
        <v>13</v>
      </c>
    </row>
    <row r="27" spans="1:5" x14ac:dyDescent="0.55000000000000004">
      <c r="A27" s="6" t="s">
        <v>33</v>
      </c>
      <c r="B27" s="19" cm="1">
        <f t="array" ref="B27">PERSIAN_TO_GREGORIAN(A27)</f>
        <v>45396</v>
      </c>
      <c r="C27" s="15">
        <f>YEAR('Persian to Gregorian'!$B27)</f>
        <v>2024</v>
      </c>
      <c r="D27" s="15">
        <f>MONTH('Persian to Gregorian'!$B27)</f>
        <v>4</v>
      </c>
      <c r="E27" s="7">
        <f>DAY('Persian to Gregorian'!$B27)</f>
        <v>14</v>
      </c>
    </row>
    <row r="28" spans="1:5" x14ac:dyDescent="0.55000000000000004">
      <c r="A28" s="5" t="s">
        <v>34</v>
      </c>
      <c r="B28" s="18" cm="1">
        <f t="array" ref="B28">PERSIAN_TO_GREGORIAN(A28)</f>
        <v>45397</v>
      </c>
      <c r="C28" s="13">
        <f>YEAR('Persian to Gregorian'!$B28)</f>
        <v>2024</v>
      </c>
      <c r="D28" s="13">
        <f>MONTH('Persian to Gregorian'!$B28)</f>
        <v>4</v>
      </c>
      <c r="E28" s="8">
        <f>DAY('Persian to Gregorian'!$B28)</f>
        <v>15</v>
      </c>
    </row>
    <row r="29" spans="1:5" x14ac:dyDescent="0.55000000000000004">
      <c r="A29" s="6" t="s">
        <v>35</v>
      </c>
      <c r="B29" s="19" cm="1">
        <f t="array" ref="B29">PERSIAN_TO_GREGORIAN(A29)</f>
        <v>45398</v>
      </c>
      <c r="C29" s="15">
        <f>YEAR('Persian to Gregorian'!$B29)</f>
        <v>2024</v>
      </c>
      <c r="D29" s="15">
        <f>MONTH('Persian to Gregorian'!$B29)</f>
        <v>4</v>
      </c>
      <c r="E29" s="7">
        <f>DAY('Persian to Gregorian'!$B29)</f>
        <v>16</v>
      </c>
    </row>
    <row r="30" spans="1:5" x14ac:dyDescent="0.55000000000000004">
      <c r="A30" s="5" t="s">
        <v>36</v>
      </c>
      <c r="B30" s="18" cm="1">
        <f t="array" ref="B30">PERSIAN_TO_GREGORIAN(A30)</f>
        <v>45399</v>
      </c>
      <c r="C30" s="13">
        <f>YEAR('Persian to Gregorian'!$B30)</f>
        <v>2024</v>
      </c>
      <c r="D30" s="13">
        <f>MONTH('Persian to Gregorian'!$B30)</f>
        <v>4</v>
      </c>
      <c r="E30" s="8">
        <f>DAY('Persian to Gregorian'!$B30)</f>
        <v>17</v>
      </c>
    </row>
    <row r="31" spans="1:5" x14ac:dyDescent="0.55000000000000004">
      <c r="A31" s="9" t="s">
        <v>37</v>
      </c>
      <c r="B31" s="20" cm="1">
        <f t="array" ref="B31">PERSIAN_TO_GREGORIAN(A31)</f>
        <v>45400</v>
      </c>
      <c r="C31" s="17">
        <f>YEAR('Persian to Gregorian'!$B31)</f>
        <v>2024</v>
      </c>
      <c r="D31" s="17">
        <f>MONTH('Persian to Gregorian'!$B31)</f>
        <v>4</v>
      </c>
      <c r="E31" s="10">
        <f>DAY('Persian to Gregorian'!$B31)</f>
        <v>18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922A55-0D19-44BB-B3BE-2F74BB2A1F35}">
  <sheetPr codeName="Sheet3"/>
  <dimension ref="A1:E11"/>
  <sheetViews>
    <sheetView workbookViewId="0">
      <selection activeCell="C6" sqref="C6"/>
    </sheetView>
  </sheetViews>
  <sheetFormatPr defaultRowHeight="14.4" x14ac:dyDescent="0.55000000000000004"/>
  <cols>
    <col min="1" max="1" width="12.578125" customWidth="1"/>
    <col min="2" max="2" width="12.15625" customWidth="1"/>
    <col min="3" max="3" width="14.20703125" customWidth="1"/>
    <col min="4" max="4" width="12.734375" customWidth="1"/>
    <col min="5" max="5" width="19.83984375" style="1" customWidth="1"/>
  </cols>
  <sheetData>
    <row r="1" spans="1:5" x14ac:dyDescent="0.55000000000000004">
      <c r="A1" s="23" t="s">
        <v>38</v>
      </c>
      <c r="B1" s="24" t="s">
        <v>39</v>
      </c>
      <c r="C1" s="24" t="s">
        <v>40</v>
      </c>
      <c r="D1" s="24" t="s">
        <v>41</v>
      </c>
      <c r="E1" s="25" t="s">
        <v>42</v>
      </c>
    </row>
    <row r="2" spans="1:5" x14ac:dyDescent="0.55000000000000004">
      <c r="A2" s="26">
        <v>1399</v>
      </c>
      <c r="B2" s="27" t="b" cm="1">
        <f t="array" ref="B2">IS_PERSIAN_LEAP_YEAR('Leap Year Examples'!$A2)</f>
        <v>1</v>
      </c>
      <c r="C2" s="27" cm="1">
        <f t="array" ref="C2">PERSIAN_DAYS_IN_MONTH('Leap Year Examples'!$A2,12)</f>
        <v>30</v>
      </c>
      <c r="D2" s="27" t="str">
        <f>'Leap Year Examples'!$A2&amp;"/12/30"</f>
        <v>1399/12/30</v>
      </c>
      <c r="E2" s="28" cm="1">
        <f t="array" ref="E2">IF('Leap Year Examples'!$B2,PERSIAN_TO_GREGORIAN('Leap Year Examples'!$D2),"N/A")</f>
        <v>44275</v>
      </c>
    </row>
    <row r="3" spans="1:5" x14ac:dyDescent="0.55000000000000004">
      <c r="A3" s="29">
        <v>1400</v>
      </c>
      <c r="B3" s="30" t="b" cm="1">
        <f t="array" ref="B3">IS_PERSIAN_LEAP_YEAR('Leap Year Examples'!$A3)</f>
        <v>0</v>
      </c>
      <c r="C3" s="30" cm="1">
        <f t="array" ref="C3">PERSIAN_DAYS_IN_MONTH('Leap Year Examples'!$A3,12)</f>
        <v>29</v>
      </c>
      <c r="D3" s="30" t="str">
        <f>'Leap Year Examples'!$A3&amp;"/12/30"</f>
        <v>1400/12/30</v>
      </c>
      <c r="E3" s="31" t="str" cm="1">
        <f t="array" ref="E3">IF('Leap Year Examples'!$B3,PERSIAN_TO_GREGORIAN('Leap Year Examples'!$D3),"N/A")</f>
        <v>N/A</v>
      </c>
    </row>
    <row r="4" spans="1:5" x14ac:dyDescent="0.55000000000000004">
      <c r="A4" s="26">
        <v>1401</v>
      </c>
      <c r="B4" s="27" t="b" cm="1">
        <f t="array" ref="B4">IS_PERSIAN_LEAP_YEAR('Leap Year Examples'!$A4)</f>
        <v>0</v>
      </c>
      <c r="C4" s="27" cm="1">
        <f t="array" ref="C4">PERSIAN_DAYS_IN_MONTH('Leap Year Examples'!$A4,12)</f>
        <v>29</v>
      </c>
      <c r="D4" s="27" t="str">
        <f>'Leap Year Examples'!$A4&amp;"/12/30"</f>
        <v>1401/12/30</v>
      </c>
      <c r="E4" s="28" t="str" cm="1">
        <f t="array" ref="E4">IF('Leap Year Examples'!$B4,PERSIAN_TO_GREGORIAN('Leap Year Examples'!$D4),"N/A")</f>
        <v>N/A</v>
      </c>
    </row>
    <row r="5" spans="1:5" x14ac:dyDescent="0.55000000000000004">
      <c r="A5" s="29">
        <v>1402</v>
      </c>
      <c r="B5" s="30" t="b" cm="1">
        <f t="array" ref="B5">IS_PERSIAN_LEAP_YEAR('Leap Year Examples'!$A5)</f>
        <v>0</v>
      </c>
      <c r="C5" s="30" cm="1">
        <f t="array" ref="C5">PERSIAN_DAYS_IN_MONTH('Leap Year Examples'!$A5,12)</f>
        <v>29</v>
      </c>
      <c r="D5" s="30" t="str">
        <f>'Leap Year Examples'!$A5&amp;"/12/30"</f>
        <v>1402/12/30</v>
      </c>
      <c r="E5" s="31" t="str" cm="1">
        <f t="array" ref="E5">IF('Leap Year Examples'!$B5,PERSIAN_TO_GREGORIAN('Leap Year Examples'!$D5),"N/A")</f>
        <v>N/A</v>
      </c>
    </row>
    <row r="6" spans="1:5" x14ac:dyDescent="0.55000000000000004">
      <c r="A6" s="26">
        <v>1403</v>
      </c>
      <c r="B6" s="27" t="b" cm="1">
        <f t="array" ref="B6">IS_PERSIAN_LEAP_YEAR('Leap Year Examples'!$A6)</f>
        <v>1</v>
      </c>
      <c r="C6" s="27" cm="1">
        <f t="array" ref="C6">PERSIAN_DAYS_IN_MONTH('Leap Year Examples'!$A6,12)</f>
        <v>30</v>
      </c>
      <c r="D6" s="27" t="str">
        <f>'Leap Year Examples'!$A6&amp;"/12/30"</f>
        <v>1403/12/30</v>
      </c>
      <c r="E6" s="28" cm="1">
        <f t="array" ref="E6">IF('Leap Year Examples'!$B6,PERSIAN_TO_GREGORIAN('Leap Year Examples'!$D6),"N/A")</f>
        <v>45736</v>
      </c>
    </row>
    <row r="7" spans="1:5" x14ac:dyDescent="0.55000000000000004">
      <c r="A7" s="29">
        <v>1404</v>
      </c>
      <c r="B7" s="30" t="b" cm="1">
        <f t="array" ref="B7">IS_PERSIAN_LEAP_YEAR('Leap Year Examples'!$A7)</f>
        <v>0</v>
      </c>
      <c r="C7" s="30" cm="1">
        <f t="array" ref="C7">PERSIAN_DAYS_IN_MONTH('Leap Year Examples'!$A7,12)</f>
        <v>29</v>
      </c>
      <c r="D7" s="30" t="str">
        <f>'Leap Year Examples'!$A7&amp;"/12/30"</f>
        <v>1404/12/30</v>
      </c>
      <c r="E7" s="31" t="str" cm="1">
        <f t="array" ref="E7">IF('Leap Year Examples'!$B7,PERSIAN_TO_GREGORIAN('Leap Year Examples'!$D7),"N/A")</f>
        <v>N/A</v>
      </c>
    </row>
    <row r="8" spans="1:5" x14ac:dyDescent="0.55000000000000004">
      <c r="A8" s="26">
        <v>1405</v>
      </c>
      <c r="B8" s="27" t="b" cm="1">
        <f t="array" ref="B8">IS_PERSIAN_LEAP_YEAR('Leap Year Examples'!$A8)</f>
        <v>0</v>
      </c>
      <c r="C8" s="27" cm="1">
        <f t="array" ref="C8">PERSIAN_DAYS_IN_MONTH('Leap Year Examples'!$A8,12)</f>
        <v>29</v>
      </c>
      <c r="D8" s="27" t="str">
        <f>'Leap Year Examples'!$A8&amp;"/12/30"</f>
        <v>1405/12/30</v>
      </c>
      <c r="E8" s="28" t="str" cm="1">
        <f t="array" ref="E8">IF('Leap Year Examples'!$B8,PERSIAN_TO_GREGORIAN('Leap Year Examples'!$D8),"N/A")</f>
        <v>N/A</v>
      </c>
    </row>
    <row r="9" spans="1:5" x14ac:dyDescent="0.55000000000000004">
      <c r="A9" s="29">
        <v>1406</v>
      </c>
      <c r="B9" s="30" t="b" cm="1">
        <f t="array" ref="B9">IS_PERSIAN_LEAP_YEAR('Leap Year Examples'!$A9)</f>
        <v>0</v>
      </c>
      <c r="C9" s="30" cm="1">
        <f t="array" ref="C9">PERSIAN_DAYS_IN_MONTH('Leap Year Examples'!$A9,12)</f>
        <v>29</v>
      </c>
      <c r="D9" s="30" t="str">
        <f>'Leap Year Examples'!$A9&amp;"/12/30"</f>
        <v>1406/12/30</v>
      </c>
      <c r="E9" s="31" t="str" cm="1">
        <f t="array" ref="E9">IF('Leap Year Examples'!$B9,PERSIAN_TO_GREGORIAN('Leap Year Examples'!$D9),"N/A")</f>
        <v>N/A</v>
      </c>
    </row>
    <row r="10" spans="1:5" x14ac:dyDescent="0.55000000000000004">
      <c r="A10" s="26">
        <v>1407</v>
      </c>
      <c r="B10" s="27" t="b" cm="1">
        <f t="array" ref="B10">IS_PERSIAN_LEAP_YEAR('Leap Year Examples'!$A10)</f>
        <v>0</v>
      </c>
      <c r="C10" s="27" cm="1">
        <f t="array" ref="C10">PERSIAN_DAYS_IN_MONTH('Leap Year Examples'!$A10,12)</f>
        <v>29</v>
      </c>
      <c r="D10" s="27" t="str">
        <f>'Leap Year Examples'!$A10&amp;"/12/30"</f>
        <v>1407/12/30</v>
      </c>
      <c r="E10" s="28" t="str" cm="1">
        <f t="array" ref="E10">IF('Leap Year Examples'!$B10,PERSIAN_TO_GREGORIAN('Leap Year Examples'!$D10),"N/A")</f>
        <v>N/A</v>
      </c>
    </row>
    <row r="11" spans="1:5" x14ac:dyDescent="0.55000000000000004">
      <c r="A11" s="21">
        <v>1408</v>
      </c>
      <c r="B11" s="22" t="b" cm="1">
        <f t="array" ref="B11">IS_PERSIAN_LEAP_YEAR('Leap Year Examples'!$A11)</f>
        <v>1</v>
      </c>
      <c r="C11" s="22" cm="1">
        <f t="array" ref="C11">PERSIAN_DAYS_IN_MONTH('Leap Year Examples'!$A11,12)</f>
        <v>30</v>
      </c>
      <c r="D11" s="22" t="str">
        <f>'Leap Year Examples'!$A11&amp;"/12/30"</f>
        <v>1408/12/30</v>
      </c>
      <c r="E11" s="32" cm="1">
        <f t="array" ref="E11">IF('Leap Year Examples'!$B11,PERSIAN_TO_GREGORIAN('Leap Year Examples'!$D11),"N/A")</f>
        <v>47562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7B2AB2-7227-4C57-A6BD-9276A72B3866}">
  <sheetPr codeName="Sheet4"/>
  <dimension ref="A1:F6"/>
  <sheetViews>
    <sheetView workbookViewId="0">
      <selection activeCell="C4" sqref="C4"/>
    </sheetView>
  </sheetViews>
  <sheetFormatPr defaultRowHeight="14.4" x14ac:dyDescent="0.55000000000000004"/>
  <cols>
    <col min="1" max="6" width="20.578125" style="2" customWidth="1"/>
  </cols>
  <sheetData>
    <row r="1" spans="1:6" x14ac:dyDescent="0.55000000000000004">
      <c r="A1" s="3" t="s">
        <v>43</v>
      </c>
      <c r="B1" s="11" t="s">
        <v>44</v>
      </c>
      <c r="C1" s="11" t="s">
        <v>45</v>
      </c>
      <c r="D1" s="11" t="s">
        <v>46</v>
      </c>
      <c r="E1" s="11" t="s">
        <v>47</v>
      </c>
      <c r="F1" s="4" t="s">
        <v>48</v>
      </c>
    </row>
    <row r="2" spans="1:6" x14ac:dyDescent="0.55000000000000004">
      <c r="A2" s="5" t="s">
        <v>8</v>
      </c>
      <c r="B2" s="13" t="s">
        <v>53</v>
      </c>
      <c r="C2" s="13" cm="1">
        <f t="array" ref="C2">PERSIAN_DATE_DIFF('Date Calculations'!$A2,'Date Calculations'!$B2)</f>
        <v>30</v>
      </c>
      <c r="D2" s="33" t="str" cm="1">
        <f t="array" ref="D2">ADD_DAYS_TO_PERSIAN('Date Calculations'!$A2,30)</f>
        <v>1403/01/31</v>
      </c>
      <c r="E2" s="13" t="str" cm="1">
        <f t="array" ref="E2">ADD_DAYS_TO_PERSIAN('Date Calculations'!$A2,90)</f>
        <v>1403/03/29</v>
      </c>
      <c r="F2" s="8" t="str" cm="1">
        <f t="array" ref="F2">ADD_DAYS_TO_PERSIAN('Date Calculations'!$A2,365)</f>
        <v>1403/12/30</v>
      </c>
    </row>
    <row r="3" spans="1:6" x14ac:dyDescent="0.55000000000000004">
      <c r="A3" s="6" t="s">
        <v>49</v>
      </c>
      <c r="B3" s="15" t="s">
        <v>54</v>
      </c>
      <c r="C3" s="15" cm="1">
        <f t="array" ref="C3">PERSIAN_DATE_DIFF('Date Calculations'!$A3,'Date Calculations'!$B3)</f>
        <v>30</v>
      </c>
      <c r="D3" s="15" t="str" cm="1">
        <f t="array" ref="D3">ADD_DAYS_TO_PERSIAN('Date Calculations'!$A3,30)</f>
        <v>1403/02/31</v>
      </c>
      <c r="E3" s="15" t="str" cm="1">
        <f t="array" ref="E3">ADD_DAYS_TO_PERSIAN('Date Calculations'!$A3,90)</f>
        <v>1403/04/29</v>
      </c>
      <c r="F3" s="7" t="str" cm="1">
        <f t="array" ref="F3">ADD_DAYS_TO_PERSIAN('Date Calculations'!$A3,365)</f>
        <v>1404/01/31</v>
      </c>
    </row>
    <row r="4" spans="1:6" x14ac:dyDescent="0.55000000000000004">
      <c r="A4" s="5" t="s">
        <v>50</v>
      </c>
      <c r="B4" s="13" t="s">
        <v>55</v>
      </c>
      <c r="C4" s="13" cm="1">
        <f t="array" ref="C4">PERSIAN_DATE_DIFF('Date Calculations'!$A4,'Date Calculations'!$B4)</f>
        <v>30</v>
      </c>
      <c r="D4" s="13" t="str" cm="1">
        <f t="array" ref="D4">ADD_DAYS_TO_PERSIAN('Date Calculations'!$A4,30)</f>
        <v>1403/03/31</v>
      </c>
      <c r="E4" s="13" t="str" cm="1">
        <f t="array" ref="E4">ADD_DAYS_TO_PERSIAN('Date Calculations'!$A4,90)</f>
        <v>1403/05/29</v>
      </c>
      <c r="F4" s="8" t="str" cm="1">
        <f t="array" ref="F4">ADD_DAYS_TO_PERSIAN('Date Calculations'!$A4,365)</f>
        <v>1404/02/31</v>
      </c>
    </row>
    <row r="5" spans="1:6" x14ac:dyDescent="0.55000000000000004">
      <c r="A5" s="6" t="s">
        <v>51</v>
      </c>
      <c r="B5" s="15" t="s">
        <v>56</v>
      </c>
      <c r="C5" s="15" cm="1">
        <f t="array" ref="C5">PERSIAN_DATE_DIFF('Date Calculations'!$A5,'Date Calculations'!$B5)</f>
        <v>1</v>
      </c>
      <c r="D5" s="15" t="str" cm="1">
        <f t="array" ref="D5">ADD_DAYS_TO_PERSIAN('Date Calculations'!$A5,30)</f>
        <v>1403/07/30</v>
      </c>
      <c r="E5" s="15" t="str" cm="1">
        <f t="array" ref="E5">ADD_DAYS_TO_PERSIAN('Date Calculations'!$A5,90)</f>
        <v>1403/09/30</v>
      </c>
      <c r="F5" s="7" t="str" cm="1">
        <f t="array" ref="F5">ADD_DAYS_TO_PERSIAN('Date Calculations'!$A5,365)</f>
        <v>1404/06/30</v>
      </c>
    </row>
    <row r="6" spans="1:6" x14ac:dyDescent="0.55000000000000004">
      <c r="A6" s="34" t="s">
        <v>52</v>
      </c>
      <c r="B6" s="35" t="s">
        <v>57</v>
      </c>
      <c r="C6" s="35" cm="1">
        <f t="array" ref="C6">PERSIAN_DATE_DIFF('Date Calculations'!$A6,'Date Calculations'!$B6)</f>
        <v>30</v>
      </c>
      <c r="D6" s="35" t="str" cm="1">
        <f t="array" ref="D6">ADD_DAYS_TO_PERSIAN('Date Calculations'!$A6,30)</f>
        <v>1404/01/01</v>
      </c>
      <c r="E6" s="35" t="str" cm="1">
        <f t="array" ref="E6">ADD_DAYS_TO_PERSIAN('Date Calculations'!$A6,90)</f>
        <v>1404/02/30</v>
      </c>
      <c r="F6" s="36" t="str" cm="1">
        <f t="array" ref="F6">ADD_DAYS_TO_PERSIAN('Date Calculations'!$A6,365)</f>
        <v>1404/11/30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3718DD-78C8-434A-AED6-F2CB6D1C984D}">
  <sheetPr codeName="Sheet5"/>
  <dimension ref="A1:E13"/>
  <sheetViews>
    <sheetView workbookViewId="0">
      <selection activeCell="E13" sqref="E13"/>
    </sheetView>
  </sheetViews>
  <sheetFormatPr defaultRowHeight="14.4" x14ac:dyDescent="0.55000000000000004"/>
  <cols>
    <col min="1" max="5" width="20.578125" style="1" customWidth="1"/>
  </cols>
  <sheetData>
    <row r="1" spans="1:5" x14ac:dyDescent="0.55000000000000004">
      <c r="A1" s="37" t="s">
        <v>58</v>
      </c>
      <c r="B1" s="38" t="s">
        <v>59</v>
      </c>
      <c r="C1" s="38" t="s">
        <v>60</v>
      </c>
      <c r="D1" s="38" t="s">
        <v>61</v>
      </c>
      <c r="E1" s="25" t="s">
        <v>41</v>
      </c>
    </row>
    <row r="2" spans="1:5" x14ac:dyDescent="0.55000000000000004">
      <c r="A2" s="39">
        <v>1</v>
      </c>
      <c r="B2" s="33" t="str" cm="1">
        <f t="array" ref="B2">PERSIAN_MONTH_NAME_BY_NUMBER('Month Information'!$A2)</f>
        <v>فروردين</v>
      </c>
      <c r="C2" s="33" cm="1">
        <f t="array" ref="C2">PERSIAN_DAYS_IN_MONTH(1400,'Month Information'!$A2)</f>
        <v>31</v>
      </c>
      <c r="D2" s="33" cm="1">
        <f t="array" ref="D2">PERSIAN_DAYS_IN_MONTH(1399,'Month Information'!$A2)</f>
        <v>31</v>
      </c>
      <c r="E2" s="40" t="str">
        <f>"1403/"&amp;TEXT('Month Information'!$A2,"00")&amp;"/01"</f>
        <v>1403/01/01</v>
      </c>
    </row>
    <row r="3" spans="1:5" x14ac:dyDescent="0.55000000000000004">
      <c r="A3" s="41">
        <v>2</v>
      </c>
      <c r="B3" s="42" t="str" cm="1">
        <f t="array" ref="B3">PERSIAN_MONTH_NAME_BY_NUMBER('Month Information'!$A3)</f>
        <v>ارديبهشت</v>
      </c>
      <c r="C3" s="42" cm="1">
        <f t="array" ref="C3">PERSIAN_DAYS_IN_MONTH(1400,'Month Information'!$A3)</f>
        <v>31</v>
      </c>
      <c r="D3" s="42" cm="1">
        <f t="array" ref="D3">PERSIAN_DAYS_IN_MONTH(1399,'Month Information'!$A3)</f>
        <v>31</v>
      </c>
      <c r="E3" s="43" t="str">
        <f>"1403/"&amp;TEXT('Month Information'!$A3,"00")&amp;"/01"</f>
        <v>1403/02/01</v>
      </c>
    </row>
    <row r="4" spans="1:5" x14ac:dyDescent="0.55000000000000004">
      <c r="A4" s="39">
        <v>3</v>
      </c>
      <c r="B4" s="33" t="str" cm="1">
        <f t="array" ref="B4">PERSIAN_MONTH_NAME_BY_NUMBER('Month Information'!$A4)</f>
        <v>خرداد</v>
      </c>
      <c r="C4" s="33" cm="1">
        <f t="array" ref="C4">PERSIAN_DAYS_IN_MONTH(1400,'Month Information'!$A4)</f>
        <v>31</v>
      </c>
      <c r="D4" s="33" cm="1">
        <f t="array" ref="D4">PERSIAN_DAYS_IN_MONTH(1399,'Month Information'!$A4)</f>
        <v>31</v>
      </c>
      <c r="E4" s="40" t="str">
        <f>"1403/"&amp;TEXT('Month Information'!$A4,"00")&amp;"/01"</f>
        <v>1403/03/01</v>
      </c>
    </row>
    <row r="5" spans="1:5" x14ac:dyDescent="0.55000000000000004">
      <c r="A5" s="41">
        <v>4</v>
      </c>
      <c r="B5" s="42" t="str" cm="1">
        <f t="array" ref="B5">PERSIAN_MONTH_NAME_BY_NUMBER('Month Information'!$A5)</f>
        <v>تير</v>
      </c>
      <c r="C5" s="42" cm="1">
        <f t="array" ref="C5">PERSIAN_DAYS_IN_MONTH(1400,'Month Information'!$A5)</f>
        <v>31</v>
      </c>
      <c r="D5" s="42" cm="1">
        <f t="array" ref="D5">PERSIAN_DAYS_IN_MONTH(1399,'Month Information'!$A5)</f>
        <v>31</v>
      </c>
      <c r="E5" s="43" t="str">
        <f>"1403/"&amp;TEXT('Month Information'!$A5,"00")&amp;"/01"</f>
        <v>1403/04/01</v>
      </c>
    </row>
    <row r="6" spans="1:5" x14ac:dyDescent="0.55000000000000004">
      <c r="A6" s="39">
        <v>5</v>
      </c>
      <c r="B6" s="33" t="str" cm="1">
        <f t="array" ref="B6">PERSIAN_MONTH_NAME_BY_NUMBER('Month Information'!$A6)</f>
        <v>مرداد</v>
      </c>
      <c r="C6" s="33" cm="1">
        <f t="array" ref="C6">PERSIAN_DAYS_IN_MONTH(1400,'Month Information'!$A6)</f>
        <v>31</v>
      </c>
      <c r="D6" s="33" cm="1">
        <f t="array" ref="D6">PERSIAN_DAYS_IN_MONTH(1399,'Month Information'!$A6)</f>
        <v>31</v>
      </c>
      <c r="E6" s="40" t="str">
        <f>"1403/"&amp;TEXT('Month Information'!$A6,"00")&amp;"/01"</f>
        <v>1403/05/01</v>
      </c>
    </row>
    <row r="7" spans="1:5" x14ac:dyDescent="0.55000000000000004">
      <c r="A7" s="41">
        <v>6</v>
      </c>
      <c r="B7" s="42" t="str" cm="1">
        <f t="array" ref="B7">PERSIAN_MONTH_NAME_BY_NUMBER('Month Information'!$A7)</f>
        <v>شهريور</v>
      </c>
      <c r="C7" s="42" cm="1">
        <f t="array" ref="C7">PERSIAN_DAYS_IN_MONTH(1400,'Month Information'!$A7)</f>
        <v>31</v>
      </c>
      <c r="D7" s="42" cm="1">
        <f t="array" ref="D7">PERSIAN_DAYS_IN_MONTH(1399,'Month Information'!$A7)</f>
        <v>31</v>
      </c>
      <c r="E7" s="43" t="str">
        <f>"1403/"&amp;TEXT('Month Information'!$A7,"00")&amp;"/01"</f>
        <v>1403/06/01</v>
      </c>
    </row>
    <row r="8" spans="1:5" x14ac:dyDescent="0.55000000000000004">
      <c r="A8" s="39">
        <v>7</v>
      </c>
      <c r="B8" s="33" t="str" cm="1">
        <f t="array" ref="B8">PERSIAN_MONTH_NAME_BY_NUMBER('Month Information'!$A8)</f>
        <v>مهر</v>
      </c>
      <c r="C8" s="33" cm="1">
        <f t="array" ref="C8">PERSIAN_DAYS_IN_MONTH(1400,'Month Information'!$A8)</f>
        <v>30</v>
      </c>
      <c r="D8" s="33" cm="1">
        <f t="array" ref="D8">PERSIAN_DAYS_IN_MONTH(1399,'Month Information'!$A8)</f>
        <v>30</v>
      </c>
      <c r="E8" s="40" t="str">
        <f>"1403/"&amp;TEXT('Month Information'!$A8,"00")&amp;"/01"</f>
        <v>1403/07/01</v>
      </c>
    </row>
    <row r="9" spans="1:5" x14ac:dyDescent="0.55000000000000004">
      <c r="A9" s="41">
        <v>8</v>
      </c>
      <c r="B9" s="42" t="str" cm="1">
        <f t="array" ref="B9">PERSIAN_MONTH_NAME_BY_NUMBER('Month Information'!$A9)</f>
        <v>آبان</v>
      </c>
      <c r="C9" s="42" cm="1">
        <f t="array" ref="C9">PERSIAN_DAYS_IN_MONTH(1400,'Month Information'!$A9)</f>
        <v>30</v>
      </c>
      <c r="D9" s="42" cm="1">
        <f t="array" ref="D9">PERSIAN_DAYS_IN_MONTH(1399,'Month Information'!$A9)</f>
        <v>30</v>
      </c>
      <c r="E9" s="43" t="str">
        <f>"1403/"&amp;TEXT('Month Information'!$A9,"00")&amp;"/01"</f>
        <v>1403/08/01</v>
      </c>
    </row>
    <row r="10" spans="1:5" x14ac:dyDescent="0.55000000000000004">
      <c r="A10" s="39">
        <v>9</v>
      </c>
      <c r="B10" s="33" t="str" cm="1">
        <f t="array" ref="B10">PERSIAN_MONTH_NAME_BY_NUMBER('Month Information'!$A10)</f>
        <v>آذر</v>
      </c>
      <c r="C10" s="33" cm="1">
        <f t="array" ref="C10">PERSIAN_DAYS_IN_MONTH(1400,'Month Information'!$A10)</f>
        <v>30</v>
      </c>
      <c r="D10" s="33" cm="1">
        <f t="array" ref="D10">PERSIAN_DAYS_IN_MONTH(1399,'Month Information'!$A10)</f>
        <v>30</v>
      </c>
      <c r="E10" s="40" t="str">
        <f>"1403/"&amp;TEXT('Month Information'!$A10,"00")&amp;"/01"</f>
        <v>1403/09/01</v>
      </c>
    </row>
    <row r="11" spans="1:5" x14ac:dyDescent="0.55000000000000004">
      <c r="A11" s="41">
        <v>10</v>
      </c>
      <c r="B11" s="42" t="str" cm="1">
        <f t="array" ref="B11">PERSIAN_MONTH_NAME_BY_NUMBER('Month Information'!$A11)</f>
        <v>دي</v>
      </c>
      <c r="C11" s="42" cm="1">
        <f t="array" ref="C11">PERSIAN_DAYS_IN_MONTH(1400,'Month Information'!$A11)</f>
        <v>30</v>
      </c>
      <c r="D11" s="42" cm="1">
        <f t="array" ref="D11">PERSIAN_DAYS_IN_MONTH(1399,'Month Information'!$A11)</f>
        <v>30</v>
      </c>
      <c r="E11" s="43" t="str">
        <f>"1403/"&amp;TEXT('Month Information'!$A11,"00")&amp;"/01"</f>
        <v>1403/10/01</v>
      </c>
    </row>
    <row r="12" spans="1:5" x14ac:dyDescent="0.55000000000000004">
      <c r="A12" s="39">
        <v>11</v>
      </c>
      <c r="B12" s="33" t="str" cm="1">
        <f t="array" ref="B12">PERSIAN_MONTH_NAME_BY_NUMBER('Month Information'!$A12)</f>
        <v>بهمن</v>
      </c>
      <c r="C12" s="33" cm="1">
        <f t="array" ref="C12">PERSIAN_DAYS_IN_MONTH(1400,'Month Information'!$A12)</f>
        <v>30</v>
      </c>
      <c r="D12" s="33" cm="1">
        <f t="array" ref="D12">PERSIAN_DAYS_IN_MONTH(1399,'Month Information'!$A12)</f>
        <v>30</v>
      </c>
      <c r="E12" s="40" t="str">
        <f>"1403/"&amp;TEXT('Month Information'!$A12,"00")&amp;"/01"</f>
        <v>1403/11/01</v>
      </c>
    </row>
    <row r="13" spans="1:5" x14ac:dyDescent="0.55000000000000004">
      <c r="A13" s="44">
        <v>12</v>
      </c>
      <c r="B13" s="45" t="str" cm="1">
        <f t="array" ref="B13">PERSIAN_MONTH_NAME_BY_NUMBER('Month Information'!$A13)</f>
        <v>اسفند</v>
      </c>
      <c r="C13" s="45" cm="1">
        <f t="array" ref="C13">PERSIAN_DAYS_IN_MONTH(1400,'Month Information'!$A13)</f>
        <v>29</v>
      </c>
      <c r="D13" s="45" cm="1">
        <f t="array" ref="D13">PERSIAN_DAYS_IN_MONTH(1399,'Month Information'!$A13)</f>
        <v>30</v>
      </c>
      <c r="E13" s="46" t="str">
        <f>"1403/"&amp;TEXT('Month Information'!$A13,"00")&amp;"/01"</f>
        <v>1403/12/01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2B9632-35F5-419E-853D-6501E89BE57D}">
  <sheetPr codeName="Sheet6"/>
  <dimension ref="A1:C9"/>
  <sheetViews>
    <sheetView workbookViewId="0">
      <selection activeCell="B5" sqref="B5"/>
    </sheetView>
  </sheetViews>
  <sheetFormatPr defaultRowHeight="14.4" x14ac:dyDescent="0.55000000000000004"/>
  <cols>
    <col min="1" max="3" width="20.578125" style="1" customWidth="1"/>
  </cols>
  <sheetData>
    <row r="1" spans="1:3" x14ac:dyDescent="0.55000000000000004">
      <c r="A1" s="37" t="s">
        <v>62</v>
      </c>
      <c r="B1" s="38" t="s">
        <v>63</v>
      </c>
      <c r="C1" s="25" t="s">
        <v>64</v>
      </c>
    </row>
    <row r="2" spans="1:3" x14ac:dyDescent="0.55000000000000004">
      <c r="A2" s="39" t="s">
        <v>65</v>
      </c>
      <c r="B2" s="33" t="b" cm="1">
        <f t="array" ref="B2">IS_VALID_PERSIAN_DATE('Validation Examples'!$A2)</f>
        <v>1</v>
      </c>
      <c r="C2" s="40" t="s">
        <v>73</v>
      </c>
    </row>
    <row r="3" spans="1:3" x14ac:dyDescent="0.55000000000000004">
      <c r="A3" s="41" t="s">
        <v>66</v>
      </c>
      <c r="B3" s="42" t="b" cm="1">
        <f t="array" ref="B3">IS_VALID_PERSIAN_DATE('Validation Examples'!$A3)</f>
        <v>0</v>
      </c>
      <c r="C3" s="43" t="s">
        <v>74</v>
      </c>
    </row>
    <row r="4" spans="1:3" x14ac:dyDescent="0.55000000000000004">
      <c r="A4" s="39" t="s">
        <v>67</v>
      </c>
      <c r="B4" s="33" t="b" cm="1">
        <f t="array" ref="B4">IS_VALID_PERSIAN_DATE('Validation Examples'!$A4)</f>
        <v>0</v>
      </c>
      <c r="C4" s="40" t="s">
        <v>75</v>
      </c>
    </row>
    <row r="5" spans="1:3" x14ac:dyDescent="0.55000000000000004">
      <c r="A5" s="41" t="s">
        <v>68</v>
      </c>
      <c r="B5" s="42" t="b" cm="1">
        <f t="array" ref="B5">IS_VALID_PERSIAN_DATE('Validation Examples'!$A5)</f>
        <v>0</v>
      </c>
      <c r="C5" s="43" t="s">
        <v>75</v>
      </c>
    </row>
    <row r="6" spans="1:3" x14ac:dyDescent="0.55000000000000004">
      <c r="A6" s="39" t="s">
        <v>69</v>
      </c>
      <c r="B6" s="33" t="b" cm="1">
        <f t="array" ref="B6">IS_VALID_PERSIAN_DATE('Validation Examples'!$A6)</f>
        <v>0</v>
      </c>
      <c r="C6" s="40" t="s">
        <v>74</v>
      </c>
    </row>
    <row r="7" spans="1:3" x14ac:dyDescent="0.55000000000000004">
      <c r="A7" s="41" t="s">
        <v>70</v>
      </c>
      <c r="B7" s="42" t="b" cm="1">
        <f t="array" ref="B7">IS_VALID_PERSIAN_DATE('Validation Examples'!$A7)</f>
        <v>0</v>
      </c>
      <c r="C7" s="43" t="s">
        <v>75</v>
      </c>
    </row>
    <row r="8" spans="1:3" x14ac:dyDescent="0.55000000000000004">
      <c r="A8" s="39" t="s">
        <v>71</v>
      </c>
      <c r="B8" s="33" t="b" cm="1">
        <f t="array" ref="B8">IS_VALID_PERSIAN_DATE('Validation Examples'!$A8)</f>
        <v>0</v>
      </c>
      <c r="C8" s="40" t="s">
        <v>76</v>
      </c>
    </row>
    <row r="9" spans="1:3" x14ac:dyDescent="0.55000000000000004">
      <c r="A9" s="44" t="s">
        <v>72</v>
      </c>
      <c r="B9" s="45" t="b" cm="1">
        <f t="array" ref="B9">IS_VALID_PERSIAN_DATE('Validation Examples'!$A9)</f>
        <v>0</v>
      </c>
      <c r="C9" s="46" t="s">
        <v>75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47AD84-8BEA-49F9-A9DF-87EC173A24D4}">
  <sheetPr codeName="Sheet7"/>
  <dimension ref="A1:B9"/>
  <sheetViews>
    <sheetView tabSelected="1" workbookViewId="0">
      <selection activeCell="G14" sqref="G14"/>
    </sheetView>
  </sheetViews>
  <sheetFormatPr defaultRowHeight="14.4" x14ac:dyDescent="0.55000000000000004"/>
  <cols>
    <col min="1" max="2" width="40.578125" style="2" customWidth="1"/>
  </cols>
  <sheetData>
    <row r="1" spans="1:2" x14ac:dyDescent="0.55000000000000004">
      <c r="A1" s="47" t="s">
        <v>77</v>
      </c>
      <c r="B1" s="47" t="s">
        <v>78</v>
      </c>
    </row>
    <row r="2" spans="1:2" x14ac:dyDescent="0.55000000000000004">
      <c r="A2" s="13" t="s">
        <v>79</v>
      </c>
      <c r="B2" s="18">
        <f ca="1">TODAY()</f>
        <v>45867</v>
      </c>
    </row>
    <row r="3" spans="1:2" x14ac:dyDescent="0.55000000000000004">
      <c r="A3" s="15" t="s">
        <v>80</v>
      </c>
      <c r="B3" s="15" t="str" cm="1">
        <f t="array" ref="B3">TODAY_PERSIAN()</f>
        <v>1404/05/07</v>
      </c>
    </row>
    <row r="4" spans="1:2" x14ac:dyDescent="0.55000000000000004">
      <c r="A4" s="13" t="s">
        <v>81</v>
      </c>
      <c r="B4" s="13" t="str" cm="1">
        <f t="array" ref="B4">TODAY_PERSIAN_FORMATTED()</f>
        <v>7 مرداد 1404</v>
      </c>
    </row>
    <row r="5" spans="1:2" x14ac:dyDescent="0.55000000000000004">
      <c r="A5" s="15" t="s">
        <v>82</v>
      </c>
      <c r="B5" s="15" cm="1">
        <f t="array" aca="1" ref="B5" ca="1">PERSIAN_YEAR(TODAY())</f>
        <v>1404</v>
      </c>
    </row>
    <row r="6" spans="1:2" x14ac:dyDescent="0.55000000000000004">
      <c r="A6" s="13" t="s">
        <v>83</v>
      </c>
      <c r="B6" s="13" cm="1">
        <f t="array" aca="1" ref="B6" ca="1">PERSIAN_MONTH(TODAY())</f>
        <v>5</v>
      </c>
    </row>
    <row r="7" spans="1:2" x14ac:dyDescent="0.55000000000000004">
      <c r="A7" s="15" t="s">
        <v>84</v>
      </c>
      <c r="B7" s="15" cm="1">
        <f t="array" aca="1" ref="B7" ca="1">PERSIAN_DAY(TODAY())</f>
        <v>7</v>
      </c>
    </row>
    <row r="8" spans="1:2" x14ac:dyDescent="0.55000000000000004">
      <c r="A8" s="13" t="s">
        <v>85</v>
      </c>
      <c r="B8" s="13" t="str" cm="1">
        <f t="array" aca="1" ref="B8" ca="1">PERSIAN_WEEKDAY_NAME(TODAY())</f>
        <v>سه‌شنبه</v>
      </c>
    </row>
    <row r="9" spans="1:2" x14ac:dyDescent="0.55000000000000004">
      <c r="A9" s="15" t="s">
        <v>86</v>
      </c>
      <c r="B9" s="15" t="b" cm="1">
        <f t="array" aca="1" ref="B9" ca="1">IS_PERSIAN_LEAP_YEAR(PERSIAN_YEAR(TODAY()))</f>
        <v>0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Basic Examples</vt:lpstr>
      <vt:lpstr>Persian to Gregorian</vt:lpstr>
      <vt:lpstr>Leap Year Examples</vt:lpstr>
      <vt:lpstr>Date Calculations</vt:lpstr>
      <vt:lpstr>Month Information</vt:lpstr>
      <vt:lpstr>Validation Examples</vt:lpstr>
      <vt:lpstr>Current Date Examples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Behify Behify</dc:creator>
  <cp:lastModifiedBy>Behify Behify</cp:lastModifiedBy>
  <dcterms:created xsi:type="dcterms:W3CDTF">2025-07-29T07:00:42Z</dcterms:created>
  <dcterms:modified xsi:type="dcterms:W3CDTF">2025-07-29T07:49:50Z</dcterms:modified>
</cp:coreProperties>
</file>